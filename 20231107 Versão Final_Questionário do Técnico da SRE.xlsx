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66925"/>
  <mc:AlternateContent xmlns:mc="http://schemas.openxmlformats.org/markup-compatibility/2006">
    <mc:Choice Requires="x15">
      <x15ac:absPath xmlns:x15ac="http://schemas.microsoft.com/office/spreadsheetml/2010/11/ac" url="C:\Users\FabioJuniorRochaVian\Desktop\CMA\Maturidade CdG\Analise Fatorial CdG\"/>
    </mc:Choice>
  </mc:AlternateContent>
  <xr:revisionPtr revIDLastSave="0" documentId="13_ncr:101_{740382C9-7E76-413D-BECB-2492F48EA198}" xr6:coauthVersionLast="47" xr6:coauthVersionMax="47" xr10:uidLastSave="{00000000-0000-0000-0000-000000000000}"/>
  <bookViews>
    <workbookView xWindow="28680" yWindow="-120" windowWidth="29040" windowHeight="15720" firstSheet="1" activeTab="1" xr2:uid="{00000000-000D-0000-FFFF-FFFF00000000}"/>
  </bookViews>
  <sheets>
    <sheet name="Status_Legenda" sheetId="2" state="hidden" r:id="rId1"/>
    <sheet name="Questionário" sheetId="3" r:id="rId2"/>
    <sheet name="Opções - Tipo de Resposta" sheetId="8" state="hidden" r:id="rId3"/>
    <sheet name="Opções - Restrições" sheetId="9" state="hidden" r:id="rId4"/>
    <sheet name="Instruções" sheetId="10" state="hidden" r:id="rId5"/>
    <sheet name="Checagem_Referencial" sheetId="12" r:id="rId6"/>
  </sheets>
  <definedNames>
    <definedName name="_xlnm._FilterDatabase" localSheetId="5" hidden="1">Checagem_Referencial!$A$1:$D$136</definedName>
    <definedName name="_xlnm._FilterDatabase" localSheetId="1" hidden="1">Questionário!$A$1:$V$1</definedName>
    <definedName name="Escolha_Única__Vertical">'Opções - Tipo de Resposta'!$A$3:$A$6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39" i="3" l="1"/>
  <c r="D65" i="12"/>
  <c r="K203" i="3" l="1"/>
  <c r="K350" i="3"/>
  <c r="K333" i="3"/>
  <c r="K580" i="3"/>
  <c r="K573" i="3"/>
  <c r="D3" i="12"/>
  <c r="D4"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2" i="12"/>
  <c r="D140" i="12" l="1"/>
  <c r="D139"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tc={3FFE8453-3180-45EF-B0E4-429ACBB11CE9}</author>
    <author>tc={3AE8B469-C19F-448D-B090-28BFBF62CB7F}</author>
    <author>tc={D69D3860-0D9A-4F95-BFB5-6EE4B989E9F9}</author>
    <author>tc={ED81853C-740B-4C42-B40E-C27145F1C255}</author>
    <author>tc={DD90783B-D67D-49A3-9260-20D0DD3A55B2}</author>
    <author>tc={4823DF31-4BC1-48B6-8892-718095B0C8ED}</author>
    <author>tc={EBC3B780-730A-4D86-A3DA-1AFAF194DB00}</author>
  </authors>
  <commentList>
    <comment ref="U159" authorId="0" shapeId="0" xr:uid="{3FFE8453-3180-45EF-B0E4-429ACBB11CE9}">
      <text>
        <t>[Comentário encadeado]
Sua versão do Excel permite que você leia este comentário encadeado, no entanto, as edições serão removidas se o arquivo for aberto em uma versão mais recente do Excel. Saiba mais: https://go.microsoft.com/fwlink/?linkid=870924
Comentário:
    Incluir a alternativa não sei no questionário do ACG</t>
      </text>
    </comment>
    <comment ref="U183" authorId="1" shapeId="0" xr:uid="{3AE8B469-C19F-448D-B090-28BFBF62CB7F}">
      <text>
        <t>[Comentário encadeado]
Sua versão do Excel permite que você leia este comentário encadeado, no entanto, as edições serão removidas se o arquivo for aberto em uma versão mais recente do Excel. Saiba mais: https://go.microsoft.com/fwlink/?linkid=870924
Comentário:
    Será que conseguimos inserir esta pergunta nos outros questionários?
Responder:
    No da dupla gestora não tera como, mas, podemos perguntar ao ACG. Incluiria tb no do tecnico da SEE</t>
      </text>
    </comment>
    <comment ref="F198" authorId="2" shapeId="0" xr:uid="{D69D3860-0D9A-4F95-BFB5-6EE4B989E9F9}">
      <text>
        <t>[Comentário encadeado]
Sua versão do Excel permite que você leia este comentário encadeado, no entanto, as edições serão removidas se o arquivo for aberto em uma versão mais recente do Excel. Saiba mais: https://go.microsoft.com/fwlink/?linkid=870924
Comentário:
    Qual o encaminhamento? Faz sentido perguntar (ou a Secretaria)?
Responder:
    Tem que perguntar - a SEE realiza o encontro entre regionais e as regionais entre escolas</t>
      </text>
    </comment>
    <comment ref="U198" authorId="3" shapeId="0" xr:uid="{ED81853C-740B-4C42-B40E-C27145F1C255}">
      <text>
        <t>[Comentário encadeado]
Sua versão do Excel permite que você leia este comentário encadeado, no entanto, as edições serão removidas se o arquivo for aberto em uma versão mais recente do Excel. Saiba mais: https://go.microsoft.com/fwlink/?linkid=870924
Comentário:
    Verificar com questionário do ACG</t>
      </text>
    </comment>
    <comment ref="V198" authorId="4" shapeId="0" xr:uid="{DD90783B-D67D-49A3-9260-20D0DD3A55B2}">
      <text>
        <t>[Comentário encadeado]
Sua versão do Excel permite que você leia este comentário encadeado, no entanto, as edições serão removidas se o arquivo for aberto em uma versão mais recente do Excel. Saiba mais: https://go.microsoft.com/fwlink/?linkid=870924
Comentário:
    E que aqui estamos falando de compartilhamento entre regionais</t>
      </text>
    </comment>
    <comment ref="U333" authorId="5" shapeId="0" xr:uid="{4823DF31-4BC1-48B6-8892-718095B0C8ED}">
      <text>
        <t>[Comentário encadeado]
Sua versão do Excel permite que você leia este comentário encadeado, no entanto, as edições serão removidas se o arquivo for aberto em uma versão mais recente do Excel. Saiba mais: https://go.microsoft.com/fwlink/?linkid=870924
Comentário:
    Implementei a sugestão da Mariana Bittar, o que deixou o item diferente do que foi utilizado no ACG. Lembrar de colocar questão dependente com a alternativa 1 do item anterior
Responder:
    Acho que não precisa deixar escolas que os acgs acompanham (está implícito). O que vcs acham?</t>
      </text>
    </comment>
    <comment ref="U350" authorId="6" shapeId="0" xr:uid="{EBC3B780-730A-4D86-A3DA-1AFAF194DB00}">
      <text>
        <t>[Comentário encadeado]
Sua versão do Excel permite que você leia este comentário encadeado, no entanto, as edições serão removidas se o arquivo for aberto em uma versão mais recente do Excel. Saiba mais: https://go.microsoft.com/fwlink/?linkid=870924
Comentário:
    Implementei a sugestão da Mariana Bittar, o que deixou o item diferente do que foi utilizado no ACG. Lembrar de colocar questão dependente com a alternativa 1 do item anterior</t>
      </text>
    </comment>
  </commentList>
</comments>
</file>

<file path=xl/sharedStrings.xml><?xml version="1.0" encoding="utf-8"?>
<sst xmlns="http://schemas.openxmlformats.org/spreadsheetml/2006/main" count="2997" uniqueCount="1022">
  <si>
    <t>Status</t>
  </si>
  <si>
    <t>Descrição</t>
  </si>
  <si>
    <t>Em elaboração</t>
  </si>
  <si>
    <t>A pergunta está em elaboração, não modifique o enunciado.</t>
  </si>
  <si>
    <t>Disponível para revisão</t>
  </si>
  <si>
    <t>A pergunta está disponível para revisão, não foram feitas ressalvas pela Oppen.</t>
  </si>
  <si>
    <t>Disponível para revisão com ressalvas</t>
  </si>
  <si>
    <t>A pergunta está disponível para revisão com ressalvas, foram feitas ressalvas pela Oppen. Pedimos que olhem com atenção.</t>
  </si>
  <si>
    <t>Revisão Interna</t>
  </si>
  <si>
    <t>Controle de revisões OPPEN</t>
  </si>
  <si>
    <t>Necessário ajuste</t>
  </si>
  <si>
    <t>A pergunta necessita de ajustes, o cliente deverá descrever o ajuste na coluna Comentários_FIS</t>
  </si>
  <si>
    <t>Exclusão</t>
  </si>
  <si>
    <t>A pergunta será excluída por sugestão do cliente.</t>
  </si>
  <si>
    <t>Aprovado</t>
  </si>
  <si>
    <t xml:space="preserve">A pergunta foi aprovada pelo cliente, após esse status ela não deverá ser modificada, salvo exceções. </t>
  </si>
  <si>
    <t>COD_FINAL</t>
  </si>
  <si>
    <t>Descritor</t>
  </si>
  <si>
    <t>Triangulação</t>
  </si>
  <si>
    <t>Página</t>
  </si>
  <si>
    <t>Variável</t>
  </si>
  <si>
    <t xml:space="preserve">Comentários_Oppen/Histórico </t>
  </si>
  <si>
    <t xml:space="preserve">Pergunta adaptada </t>
  </si>
  <si>
    <t>Instrução</t>
  </si>
  <si>
    <t>Cod</t>
  </si>
  <si>
    <t>Alternativas de resposta</t>
  </si>
  <si>
    <t>Questão  dependente</t>
  </si>
  <si>
    <t>Opção</t>
  </si>
  <si>
    <t>Pré-condição</t>
  </si>
  <si>
    <t>Tipo de resposta</t>
  </si>
  <si>
    <t>Validação</t>
  </si>
  <si>
    <t>Restrições</t>
  </si>
  <si>
    <t>Ajustes na programação</t>
  </si>
  <si>
    <t>Observações para equipe de programação</t>
  </si>
  <si>
    <t>Comentários Mariana</t>
  </si>
  <si>
    <t>Comentários  Mona</t>
  </si>
  <si>
    <t>Comentários  Luciana</t>
  </si>
  <si>
    <t>Comentários  Joao</t>
  </si>
  <si>
    <t>Comentários  Aline</t>
  </si>
  <si>
    <t>Não se aplica</t>
  </si>
  <si>
    <t> </t>
  </si>
  <si>
    <t>abordagem</t>
  </si>
  <si>
    <t>Oppen 01.09: Texto inserido de acordo com a versão do dia 29.08.23 enviada ao IU.
Oppen 24.10: versão atualizada após correção da Maju, enviada pelo IU.</t>
  </si>
  <si>
    <t>Olá!
Você é um dos profissionais mais relevantes para a gestão da política educacional de seu estado e conhece a parceria da Secretaria com o Instituto Unibanco no Programa Jovem de Futuro. Além disso, conhece, usa e compõe o Circuito de Gestão. 
Este questionário tem como objetivo levantar informações sobre a implementação do Circuito de Gestão na rede estadual de educação em que você atua. As informações coletadas vão servir ao aprimoramento dessa implementação.
Você encontrará, aqui, questões que solicitam dados pessoais:  primeiro nome, faixa etária, sexo, cargo, local de trabalho e tempo de experiência na Secretaria Estadual de Educação e no seu cargo. Também há questões sobre a implementação dos processos e protocolos do Circuito de Gestão. A necessidade de dados pessoais se justifica pelo interesse de segmentar apoios a partir de uma análise demográfica e de perfil profissional.
Necessário declarar que a pesquisa atende as exigências da Lei Geral de Proteção De Dados Pessoais (Lei nº 13.709/2018), além de seguir os princípios éticos que sustentam e orientam a parceria entre a Secretaria e o Instituto Unibanco. Qualquer divulgação só ocorrerá com aprovação das lideranças da secretaria e os dados serão agregados, não permitindo qualquer identificação do respondente.
Contamos com sua colaboração em responder este questionário a partir de sua experiência e reflexão sobre o Circuito de Gestão e agradecemos imensamente a sua dedicação de tempo respondê-lo.</t>
  </si>
  <si>
    <t>note</t>
  </si>
  <si>
    <t>vazio</t>
  </si>
  <si>
    <t>consent</t>
  </si>
  <si>
    <t>Oppen 01.09: Texto inserido de acordo com a versão do dia 29.08.23 enviada ao IU.</t>
  </si>
  <si>
    <t>Algumas garantias devem ser compartilhadas com você. Todos os dados pessoais fornecidos serão tratados com segurança, de acordo com a Lei Geral de Proteção De Dados Pessoais (Lei nº 13.709/2018).
Os dados que você fornecer serão divulgados de forma agregada e nenhuma das suas respostas será divulgada individualmente.
As informações serão utilizadas somente para os fins desta pesquisa e serão compartilhadas com o Instituto Unibanco e seus parceiros. 
Por fim, declaramos que todos os dados fornecidos por você serão armazenados apenas pelo tempo necessário para que as finalidades informadas sejam atingidas ou em conformidade com obrigações legais e regulatórias.
Sendo assim, ao aceitar participar desta pesquisa, você declara estar ciente que:
-  Eventuais informações fornecidas não permitirão a sua identificação, exceto para a equipe de pesquisa e para o Instituto Unibanco;
-  A divulgação de informações apenas acontecerá de forma agregada e/ou anonimizada e só será feita entre as instituições, profissionais e parceiros do estudo;
-  O seu consentimento é concedido para que a Oppen Social (i) colete dados pessoais fornecidos voluntariamente no questionário; (ii) utilize esses dados com o objetivo de caracterizar o perfil dos atores envolvidos na área de educação do estado; e (iii) compartilhe os dados pessoais com terceiros contratados para a prestação dos serviços da pesquisa. 
-  Você tem direito de solicitar acesso, retificação ou eliminação dos seus dados pessoais tratados pela Oppen, além de poder revogar o seu consentimento a qualquer tempo, sem que isso lhe traga qualquer penalidade ou prejuízo.
-  Os resultados desta pesquisa serão divulgados de forma agregada e anonimizada para a Secretaria de Educação do seu estado no contexto da implementação do Jovem de Futuro e do Circuito de Gestão.
Ao continuar com esse questionário, você concorda com o disposto neste Aviso.</t>
  </si>
  <si>
    <t>Continuar.</t>
  </si>
  <si>
    <t>select_one</t>
  </si>
  <si>
    <t>obrigatoria</t>
  </si>
  <si>
    <t>Quando o formulário estiver concluído, a parte do pré-teste será retirada das orientações, correto?
Roda de conversa só está prevista para a fase do pré-teste, certo?
Penso que devemos trabalhar sempre com a nomenclatura de Secretaria de Estado, pois o IU não tem parceria com Secretaria Municipal</t>
  </si>
  <si>
    <t xml:space="preserve">Encerrar. </t>
  </si>
  <si>
    <t>intro</t>
  </si>
  <si>
    <t>Para participar dessa pesquisa, pedimos que leve em consideração não somente a sua experiência, mas também a de outros profissionais da Regional, da Secretaria e das escolas da sua regional no processo de implementação do Circuito de Gestão, no contexto da parceria com o IU | Jovem de Futuro.
Este questionário é composto de 7 seções: 1. Circuito de Gestão na Regional; 2. Apoio da Secretaria à Regional de Ensino; 3. Apoio da Regional ao ACG (ou Superintendente, Supervisor ou Tutor);  4. Apoio do ACG (ou Superintendente, Supervisor ou Tutor) às escolas; 5. Circuito de Gestão nas Escolas; 6. Circuito de Gestão na Secretaria e ações disparadoras; 7. Customização dos Protocolos. 
Recomendamos que reserve cerca de 60 minutos e tente responder em um ambiente tranquilo e silencioso, a fim de garantir sua total concentração e atenção. Não há tempo máximo para cada pergunta e, caso você precise se ausentar, recomendamos que não feche o link do questionário para não perder o histórico de suas respostas. Caso não se sinta confortavel ou não tenha informações suficientes para responder alguma pergunta, por favor, marque a alternativa "Prefiro não responder (Não sei)". Reforçamos que não exstem respostas certas ou erradas.</t>
  </si>
  <si>
    <t>Algumas perguntas deste questionário dizem respeito ao profissional da regional responsável por acompanhar a implementação do Circuito de Gestao nas escolas, aqui denominado ACG (Profissional de apoio ao Circuito de Gestão).Sabemos, contudo, que ele recebe denominações distintas nos estados. Ou seja, no Ceará, ele recebe o nome de Superintendente; no Espírito Santo, de Supervisor; em Goiás, de Tutor; e, no Piauí, de Técnico de Ensino ou ACG.</t>
  </si>
  <si>
    <t>Sim</t>
  </si>
  <si>
    <t>Alterar texto da nota de instrução (coluna H)</t>
  </si>
  <si>
    <t>duration</t>
  </si>
  <si>
    <t>intro_id</t>
  </si>
  <si>
    <t xml:space="preserve">Vamos iniciar com algumas perguntas sobre você. </t>
  </si>
  <si>
    <t>nome</t>
  </si>
  <si>
    <t>Qual seu nome?</t>
  </si>
  <si>
    <t xml:space="preserve">Escreva seu primeiro nome. </t>
  </si>
  <si>
    <t xml:space="preserve">consent </t>
  </si>
  <si>
    <t>texto</t>
  </si>
  <si>
    <t xml:space="preserve">Não devériamos pedir o nome completo? </t>
  </si>
  <si>
    <t>fx_etaria</t>
  </si>
  <si>
    <t>Qual a sua idade?</t>
  </si>
  <si>
    <t>Até 24 anos.</t>
  </si>
  <si>
    <t>25 a 29 anos</t>
  </si>
  <si>
    <t>30 a 34 anos</t>
  </si>
  <si>
    <t>35 a 39 anos</t>
  </si>
  <si>
    <t>40 a 44 anos</t>
  </si>
  <si>
    <t>45 a 49 anos</t>
  </si>
  <si>
    <t>50 a 54 anos</t>
  </si>
  <si>
    <t>55 a 59 anos</t>
  </si>
  <si>
    <t>60 anos ou mais</t>
  </si>
  <si>
    <t>sexo</t>
  </si>
  <si>
    <t>Qual é o seu sexo?</t>
  </si>
  <si>
    <t>Masculino.</t>
  </si>
  <si>
    <t>Feminino.</t>
  </si>
  <si>
    <t>Prefiro não informar.</t>
  </si>
  <si>
    <t>see</t>
  </si>
  <si>
    <t>Em qual Secretaria Estadual de Educação você está alocado?</t>
  </si>
  <si>
    <t>Secretaria Estadual de Educação do Ceará.</t>
  </si>
  <si>
    <t>Secretaria Estadual de Educação do Espírito Santo.</t>
  </si>
  <si>
    <t>Secretaria Estadual de Educação de Goiás.</t>
  </si>
  <si>
    <t>Secretaria Estadual de Educação do Piauí.</t>
  </si>
  <si>
    <t>sre</t>
  </si>
  <si>
    <t>Por favor, selecione a Regional de Ensino em que você está alocado(a):</t>
  </si>
  <si>
    <t>LISTA DE REGIONAIS POR UF</t>
  </si>
  <si>
    <t>cargo</t>
  </si>
  <si>
    <r>
      <t xml:space="preserve">Oppen 04.09:  </t>
    </r>
    <r>
      <rPr>
        <sz val="12"/>
        <rFont val="Public Sans"/>
      </rPr>
      <t xml:space="preserve">Importante inserir listagem de cargos, caso essa informação seja relevante.  </t>
    </r>
    <r>
      <rPr>
        <b/>
        <sz val="12"/>
        <rFont val="Public Sans"/>
      </rPr>
      <t xml:space="preserve">IMPORTANTE: </t>
    </r>
    <r>
      <rPr>
        <sz val="12"/>
        <rFont val="Public Sans"/>
      </rPr>
      <t xml:space="preserve">Não está previsto no plano de análise esse tipo de recorte. Devemos prever isso no plano tabular? Esse tipo de análise ficará com IU ou Oppen? </t>
    </r>
  </si>
  <si>
    <t>Qual é o seu atual cargo na  Regional?</t>
  </si>
  <si>
    <t> Por favor, digite seu cargo.</t>
  </si>
  <si>
    <t>text</t>
  </si>
  <si>
    <t>papel_cdg</t>
  </si>
  <si>
    <t xml:space="preserve">Oppen 25.10: Isso não está previsto no plano de análise. </t>
  </si>
  <si>
    <t>Qual é o seu papel no Circuito de Gestão na Regional?</t>
  </si>
  <si>
    <t>Responsável pelo Circuito de Gestão na Regional.</t>
  </si>
  <si>
    <t>Coordenador dos ACGs (ou Supervisores, Superintendentes, Tutores).</t>
  </si>
  <si>
    <t>Outro.</t>
  </si>
  <si>
    <t>tempo_experiencia_see</t>
  </si>
  <si>
    <t>Há quanto tempo você implementa o Circuito de Gestão (CdG)?</t>
  </si>
  <si>
    <t>Menos de 6 meses.</t>
  </si>
  <si>
    <t xml:space="preserve">De 6 meses a 1 ano. </t>
  </si>
  <si>
    <t xml:space="preserve">De 2 a 3 anos. </t>
  </si>
  <si>
    <t>Mais de 4 anos.</t>
  </si>
  <si>
    <t>bloco_1</t>
  </si>
  <si>
    <t>BLOCO 1: CIRCUITO DE GESTÃO NA REGIONAL DE ENSINO.
Antes de iniciarmos o questionário, é importante lembrarmos quem é o ACG, o profissional da Regional que apoia a implementação do Circuito de Gestão nas escolas. Sabemos que, em cada secretaria, esse profissional tem denominações distintas: no Ceará, é o Superintendente; no Espírito Santo, é o Supervisor; em Goiás, é o Tutor; e, no Piauí é o Técnico de Ensino ou ACG.
Vamos começar com algumas perguntas sobre as etapas de PACTUAÇÃO DE METAS e de PLANEJAMENTO na Regional de Ensino.</t>
  </si>
  <si>
    <t>E1D1_5</t>
  </si>
  <si>
    <t>As metas pactuadas são compartilhadas com os profissionais das escolas e das regionais.</t>
  </si>
  <si>
    <t>1;2;3;4;5</t>
  </si>
  <si>
    <t>V01</t>
  </si>
  <si>
    <t>Oppen 09.10: Item idêntico ao Questionário do ACG</t>
  </si>
  <si>
    <t xml:space="preserve">Nos últimos 12 meses, você participou de algum encontro de apresentação das metas da Secretaria, das Regionais e das Escolas para as regionais? </t>
  </si>
  <si>
    <t xml:space="preserve"> Lembrando que a meta é calculada a partir do IDEB*, uma combinação entre os resultados de Língua Portuguesa e Matemática dos estudantes nas avaliações externas estaduais e do fluxo dos estudantes (taxa de aprovação).</t>
  </si>
  <si>
    <t>Sim.</t>
  </si>
  <si>
    <t>Não.</t>
  </si>
  <si>
    <t>V02</t>
  </si>
  <si>
    <t>Você conhece a meta da sua regional?</t>
  </si>
  <si>
    <t>A Regional não tem meta.</t>
  </si>
  <si>
    <t>V03</t>
  </si>
  <si>
    <t xml:space="preserve"> Você conhece as metas das escolas da sua Regional?</t>
  </si>
  <si>
    <t>As escolas não têm meta.</t>
  </si>
  <si>
    <t>E2D1_3</t>
  </si>
  <si>
    <t>A Secretaria Estadual de Educação compartilha o calendário anual do CdG com a rede.</t>
  </si>
  <si>
    <t>1;2;3;4</t>
  </si>
  <si>
    <t>V04</t>
  </si>
  <si>
    <t>Oppen 04.10: item idêntico ao Questionário da Dupla Gestora e ao ACG</t>
  </si>
  <si>
    <t>Você teve acesso ao calendário anual do Circuito de Gestão de 2023?</t>
  </si>
  <si>
    <t>V05</t>
  </si>
  <si>
    <t>Você conhece os OBJETIVOS ESTRATÉGICOS da Secretaria Estadual de Educação?</t>
  </si>
  <si>
    <t xml:space="preserve">Não. </t>
  </si>
  <si>
    <t>A Secretaria não estabeleceu objetivos estratégicos.</t>
  </si>
  <si>
    <t>E2D4_22</t>
  </si>
  <si>
    <t>A Secretaria Estadual de Educação disponibiliza informações sobre os programas, projetos, ações e recursos para que as instâncias considerem na elaboração de seus planos.</t>
  </si>
  <si>
    <t>V06</t>
  </si>
  <si>
    <t>Você conhece os PROGRAMAS E/OU AÇÕES PRIORITÁRIAS da Secretaria de Educação?</t>
  </si>
  <si>
    <t xml:space="preserve">Sim, conheco os programas prioritários da Secretaria. </t>
  </si>
  <si>
    <t>Não conheço os programas ou ações prioritários.</t>
  </si>
  <si>
    <t>A Secretaria não possui programas ou ações prioritários.</t>
  </si>
  <si>
    <t>E1D1_4</t>
  </si>
  <si>
    <t xml:space="preserve">As escolas prioritárias recebem metas maiores e mais ousadas. </t>
  </si>
  <si>
    <t>1;2;3</t>
  </si>
  <si>
    <t>V07</t>
  </si>
  <si>
    <t>Oppen 04.10: item idêntico ao Questionário do Técnico da SEE</t>
  </si>
  <si>
    <t>As escolas prioritárias recebem metas mais ousadas que as outras escolas da rede.</t>
  </si>
  <si>
    <t xml:space="preserve">Por favor, indique o quanto você concorda com a afirmação. </t>
  </si>
  <si>
    <t>1. Discordo totalmente.</t>
  </si>
  <si>
    <t>2. Discordo.</t>
  </si>
  <si>
    <t>3. Concordo.</t>
  </si>
  <si>
    <t xml:space="preserve">4. Concordo totalmente. </t>
  </si>
  <si>
    <t>Prefiro não responder (Não sei).</t>
  </si>
  <si>
    <t>E1D4_15</t>
  </si>
  <si>
    <t>A Regional conduz o processo de pactuação de metas com seu grupo de escolas, afim de promover o engajamento.</t>
  </si>
  <si>
    <t>2;3</t>
  </si>
  <si>
    <t>V08</t>
  </si>
  <si>
    <t>A sua Regional compartilha as metas com as escolas que estão sob sua jurisdição?</t>
  </si>
  <si>
    <t>select_multiple</t>
  </si>
  <si>
    <t>E1D2_6</t>
  </si>
  <si>
    <t xml:space="preserve">A equipe técnica da Regional utiliza as metas da regional e das escolas sob sua jurisdição para o planejamento de suas ações. </t>
  </si>
  <si>
    <t>V09</t>
  </si>
  <si>
    <t>Oppen 09.10: Item idêntico ao Questionário do ACG.</t>
  </si>
  <si>
    <t>Quais informações são usadas na elaboração do plano de ação da Regional?</t>
  </si>
  <si>
    <t>É possível selecionar mais de uma alternativa. Para responder esta pergunta, por favor, considere a realidade da sua Regional e marque todas as que se aplicarem.</t>
  </si>
  <si>
    <t>Diagnóstico do ano anterior (2022).</t>
  </si>
  <si>
    <t>Se selecionar 77 não pode selecionar outra.</t>
  </si>
  <si>
    <r>
      <t xml:space="preserve">Informações sobre os planos de ação das escolas </t>
    </r>
    <r>
      <rPr>
        <sz val="12"/>
        <color rgb="FF002060"/>
        <rFont val="Public Sans"/>
      </rPr>
      <t>da Regional.</t>
    </r>
  </si>
  <si>
    <t>E2D1_8</t>
  </si>
  <si>
    <t>O plano de ação das Regionais é orientado pelos objetivos estratégicos estabelecidos pela Secretaria Estadual de Educação.</t>
  </si>
  <si>
    <t>1;2;5</t>
  </si>
  <si>
    <t>Informações sobre aulas dadas nas escolas da Regional.</t>
  </si>
  <si>
    <r>
      <t xml:space="preserve">Problemas ou riscos mapeados pelas </t>
    </r>
    <r>
      <rPr>
        <sz val="12"/>
        <color rgb="FF002060"/>
        <rFont val="Public Sans"/>
      </rPr>
      <t>escolas da Regional</t>
    </r>
    <r>
      <rPr>
        <sz val="12"/>
        <color rgb="FF000000"/>
        <rFont val="Public Sans"/>
      </rPr>
      <t>.</t>
    </r>
  </si>
  <si>
    <t>E2D1_11</t>
  </si>
  <si>
    <t>Os planos de ação das Regionais são elaborados com base no diagnóstico feito no ano anterior, com foco nos resultados de aprendizagem e fluxo (aprovação e abandono).</t>
  </si>
  <si>
    <t>Informações sobre Programas, projetos, ações e recursos da Secretaria.</t>
  </si>
  <si>
    <t>Metas das escolas da Regional para o ano (2023).</t>
  </si>
  <si>
    <t>Meta da regional para o ano (2023).</t>
  </si>
  <si>
    <t>Nota dos estudantes das escolas da Regional.</t>
  </si>
  <si>
    <t>E2D4_28</t>
  </si>
  <si>
    <t xml:space="preserve">As Regionais utilizam os insumos dos planos das escolas sob sua jurisdição para aprimorar seus próprios planos de ação.  </t>
  </si>
  <si>
    <t>2;3;4</t>
  </si>
  <si>
    <t>Objetivos estratégicos da Secretaria.</t>
  </si>
  <si>
    <t xml:space="preserve">Taxa de abandono das escolas da Regional. </t>
  </si>
  <si>
    <t>Taxa de aprovação dos estudantes das escolas da Regional.</t>
  </si>
  <si>
    <t>Outras informações.</t>
  </si>
  <si>
    <t>E2D2_14</t>
  </si>
  <si>
    <t>Há profissionais de diferentes áreas da Regional (área financeira, pedagógica, infraestrutura, pessoas, etc.) com atribuições de tarefas e ações no plano de ações das regional.</t>
  </si>
  <si>
    <t>V10</t>
  </si>
  <si>
    <t>Quais profissionais PARTICIPAM do processo de elaboração do plano de ação da sua Regional?</t>
  </si>
  <si>
    <t>ACGs (ou superintendentes ou supervisores ou tutores)</t>
  </si>
  <si>
    <t>Profissionais da área responsável pelo CdG na Regional</t>
  </si>
  <si>
    <t>Coordenador dos ACGs (ou Supervisores, Superintendetes, Tutores).</t>
  </si>
  <si>
    <t>Profissionais da área pedagógica.</t>
  </si>
  <si>
    <t>Profissionais da área de Ensino Médio.</t>
  </si>
  <si>
    <t>Profissionais da área de Ensino Fundamental.</t>
  </si>
  <si>
    <t>Outras áreas.</t>
  </si>
  <si>
    <t>V11</t>
  </si>
  <si>
    <t>Quais profissionais  são RESPONSÁVEIS PELAS AÇÕES do plano de ação da sua Regional?</t>
  </si>
  <si>
    <t>ACGs (ou superintendentes ou supervisores ou tutores).</t>
  </si>
  <si>
    <t>Profissionais da área responsável pelo CdG na Regional.</t>
  </si>
  <si>
    <t>E2D1_5</t>
  </si>
  <si>
    <t>As Regionais inserem seus planos de ação no Sistema de Gestão para o Avanço Contínuo da Educação (Sigae) no prazo estipulado pelo cronograma pactuado com a rede.</t>
  </si>
  <si>
    <t>V12</t>
  </si>
  <si>
    <t> Oppen 09.10: Item idêntico ao ACG</t>
  </si>
  <si>
    <t>O plano de ação da sua regional foi postado no Sistema de Gestão para o Avanço Contínuo da Educação (Sigae)?</t>
  </si>
  <si>
    <t xml:space="preserve">Selecione conforme o caso. </t>
  </si>
  <si>
    <t>Não foi postado.</t>
  </si>
  <si>
    <t>A4D1_2</t>
  </si>
  <si>
    <t xml:space="preserve">Sim, mas fora do prazo. </t>
  </si>
  <si>
    <t>Sim, dentro do prazo.</t>
  </si>
  <si>
    <t>E3D2_18</t>
  </si>
  <si>
    <t>A equipe gestora da Regional encaminha as demandas que não estão sob sua jurisdição para a Secretaria Estadual de Educação.</t>
  </si>
  <si>
    <t>V13</t>
  </si>
  <si>
    <t xml:space="preserve">A partir do painel de riscos das escolas, a Regional identifica riscos (ou ações) que não podem ser resolvidos por ela e os encaminha para a Secretaria? </t>
  </si>
  <si>
    <t>E1D2_10</t>
  </si>
  <si>
    <t>A equipe técnica da Regional reconhece a importância da identificação das escolas prioritárias como estratégia de enfrentamento das desigualdades entre as escolas, oferecendo apoio e ações diferenciadas.</t>
  </si>
  <si>
    <t>V14</t>
  </si>
  <si>
    <t xml:space="preserve">Oppen 09.10: Item idêntico ao Questionário do ACG
</t>
  </si>
  <si>
    <t>Os profissionais da Regional reconhecem a importância do acompanhamento diferenciado às escolas prioritárias, para diminuir as desigualdades entre as escolas.</t>
  </si>
  <si>
    <t>E2D3_20</t>
  </si>
  <si>
    <t>As Regionais elaboram planos de priorização que identificam ACGs, escolas e estudantes que precisam de maior apoio, alinhado aos objetivos estabelecidos pela rede.</t>
  </si>
  <si>
    <t>1;2</t>
  </si>
  <si>
    <t>V15</t>
  </si>
  <si>
    <t>Oppen 09.10: No questionário do técnico da SEE, a escala é de 4 pontos. Mas não achamos que faz sentido manter. A não ser que a gente faça likert .</t>
  </si>
  <si>
    <t xml:space="preserve">A regional possui estratégias de atendimento diferenciado para as escolas que necessitam de maior apoio? </t>
  </si>
  <si>
    <t>E2D5_30</t>
  </si>
  <si>
    <t>As Regionais fizeram customizações em ao menos um processo da etapa de planejamento (adaptações nos protocolos, indicadores específicos, formulários para registro de informações, roteiros de análise e de orientação e sistematização das atividades, instruções para o uso do sistema de informações)</t>
  </si>
  <si>
    <t>V16</t>
  </si>
  <si>
    <t>Considerando a etapa de PLANEJAMENTO, em quais processos foram realizadas adaptações?</t>
  </si>
  <si>
    <t>É possível selecionar mais de uma alternativa. Para responder esta pergunta, por favor, considere adaptações nas atividades e processos do Circuito de Gestão, implementadas com o objetivo de adequá-los à realidade da sua Regional ou das escolas.</t>
  </si>
  <si>
    <t>Definição de indicadores específicos (avaliações externas estaduais e/ou taxas de aprovação).</t>
  </si>
  <si>
    <t xml:space="preserve">Compartilhamento do plano de ação da Regional com as escolas. </t>
  </si>
  <si>
    <t>Dinâmica de acompanhamento das escolas</t>
  </si>
  <si>
    <t>Formulários para registro de informações.</t>
  </si>
  <si>
    <t>Roteiros de análise e de orientação.</t>
  </si>
  <si>
    <t>Monitoramento do processo nas escolas.</t>
  </si>
  <si>
    <t>Instruções para o uso do SIGAE.</t>
  </si>
  <si>
    <t>Visitas técnicas.</t>
  </si>
  <si>
    <t>Outra.</t>
  </si>
  <si>
    <t xml:space="preserve">Não sei. / Não foram realizadas adaptações em nenhum processo. </t>
  </si>
  <si>
    <t>intro_execucao</t>
  </si>
  <si>
    <t xml:space="preserve">Pense agora na ETAPA DE EXECUÇÃO do plano de ação da Regional. </t>
  </si>
  <si>
    <t>E3D1_8</t>
  </si>
  <si>
    <t>As equipes das Regionais inserem informações sobre execução das tarefas e ações no  Sistema de Gestão para o Avanço Contínuo da Educação (Sigae) dentro do prazo estipulado no cronograma pactuado pela rede.</t>
  </si>
  <si>
    <t>V17</t>
  </si>
  <si>
    <t>As informações sobre as tarefas e as ações são atualizadas pelos profissionais da sua Regional no Sistema de Gestão para o Avanço Contínuo da Educação (Sigae)?</t>
  </si>
  <si>
    <t>Selecione a alternativa que mais se aproxima da realidade da sua Regional.</t>
  </si>
  <si>
    <t>Não são atualizadas.</t>
  </si>
  <si>
    <t>Sim, próximo à etapa de avaliação (data de corte da SMAR).</t>
  </si>
  <si>
    <t>A4D1_5</t>
  </si>
  <si>
    <t>Sim, às vezes após a finalização de uma tarefa ou ação.</t>
  </si>
  <si>
    <t>Sim, na maioria das vezes após a finalização de uma tarefa ou ação.</t>
  </si>
  <si>
    <t>E3D1_3</t>
  </si>
  <si>
    <t xml:space="preserve">As equipes das Regionais executam as tarefas previstas nos planos de ação dentro dos prazos. </t>
  </si>
  <si>
    <t>1;2;3;5</t>
  </si>
  <si>
    <t>V18</t>
  </si>
  <si>
    <t>Os profissionais da Regional realizam as ações previstas no plano de ação dentro do prazo?</t>
  </si>
  <si>
    <t>Nenhum profissional realiza as tarefas dentro do prazo.</t>
  </si>
  <si>
    <t>Alguns profissionais realizam as tarefas dentro do prazo.</t>
  </si>
  <si>
    <t>A maioria dos profissionais realiza as tarefas dentro do prazo.</t>
  </si>
  <si>
    <t>Todos os profissionais realizam das tarefas dentro do prazo.</t>
  </si>
  <si>
    <t>E3D2_12</t>
  </si>
  <si>
    <t>Os profissionais com atribuições de ações e tarefas no plano de ação da Regional se sentem responsáveis pela sua realização e monitoramento.</t>
  </si>
  <si>
    <t>V19</t>
  </si>
  <si>
    <t>Na sua opinião, qual o nível de comprometimento dos profissionais da sua Regional, responsáveis pelas ações, com a execução do plano de ação?</t>
  </si>
  <si>
    <t xml:space="preserve"> Selecione a alternativa que mais se aproxima da realidade da sua Regional.</t>
  </si>
  <si>
    <t>1. Muito baixo.</t>
  </si>
  <si>
    <t>2. Baixo.</t>
  </si>
  <si>
    <t>3. Alto.</t>
  </si>
  <si>
    <t>4. Muito alto. </t>
  </si>
  <si>
    <t>E3D1_5</t>
  </si>
  <si>
    <t>As equipes das Regionais monitoram a execução de seus planos de ação e realizam ajustes pontuais quando necessário.</t>
  </si>
  <si>
    <t>V20</t>
  </si>
  <si>
    <t>Oppen 05.09: Item idêntico ao do Técnico da SEE e ao ACG</t>
  </si>
  <si>
    <t>Quais indicadores são utilizados pela equipe técnica da Regional no monitoramento do seu plano de ação?</t>
  </si>
  <si>
    <t>Selecione a(s) alternativa(s) que mais se aproxima(m) da realidade da sua Regional.</t>
  </si>
  <si>
    <t>Aulas dadas nas escolas da regional.</t>
  </si>
  <si>
    <t>Frequência dos estudantes das escolas da Regional.</t>
  </si>
  <si>
    <t>Proporção das tarefas previstas no plano de ação que foram concluídas, estão em andamento e não iniciadas.</t>
  </si>
  <si>
    <t>E3D2_16</t>
  </si>
  <si>
    <t>A equipe gestora da Regional acompanha a execução do seu plano de ação.</t>
  </si>
  <si>
    <t>Proporção das ações previstas no plano de ação que foram concluídas, estão em andamento e não iniciadas.</t>
  </si>
  <si>
    <t>Qualidade da execução das ações e das tarefas.</t>
  </si>
  <si>
    <t>Outros.</t>
  </si>
  <si>
    <t>Não sei. /Não há monitoramento do plano de ação da Regional.</t>
  </si>
  <si>
    <t>V21</t>
  </si>
  <si>
    <t xml:space="preserve">Oppen 05.09: Item idêntico ao ACG
</t>
  </si>
  <si>
    <t>Durante as etapas de execução e monitoramento, foi realizado algum ajuste no plano de ação da Regional?</t>
  </si>
  <si>
    <t> Para responder esta pergunta, considere qualquer ajuste feito no plano de ação - seja de cronograma, responsavel ou detalhamento de tarefa ou ação.</t>
  </si>
  <si>
    <t>V22</t>
  </si>
  <si>
    <t>Quais ajustes foram feitos no plano de ação da sua REGIONAL nas etapas de EXECUÇÃO e MONITORAMENTO?</t>
  </si>
  <si>
    <t>É possível selecionar mais de uma alternativa.</t>
  </si>
  <si>
    <t xml:space="preserve">Ajuste de cronograma. </t>
  </si>
  <si>
    <t>SE V21 = 1</t>
  </si>
  <si>
    <t xml:space="preserve">Ajuste de ações e tarefas. </t>
  </si>
  <si>
    <t>Exclusão ou inclusão de tarefas.</t>
  </si>
  <si>
    <t xml:space="preserve">Exclusão ou inclusão de ações. </t>
  </si>
  <si>
    <t>Alteração de profissional responsável pela ação ou tarefa.</t>
  </si>
  <si>
    <t xml:space="preserve">Outro ajuste. </t>
  </si>
  <si>
    <t>E3D5_33</t>
  </si>
  <si>
    <t>As regionais fizeram customizações em ao menos um processo da etapa de execução (indicadores específicos, formulários para registro de informações, roteiros de análise e de orientação e sistematização das atividades, instruções para o uso do sistema de informações)</t>
  </si>
  <si>
    <t>V23</t>
  </si>
  <si>
    <t>Considerando a etapa de EXECUÇÃO, em quais processos foram realizadas adaptações?</t>
  </si>
  <si>
    <t>Para responder esta pergunta, por favor, considere adaptações nas atividades e processos do Circuito de Gestão, implementadas com o objetivo de adequá-los à realidade da sua regional de ensino ou das escolas. É possível selecionar mais de uma alternativa.</t>
  </si>
  <si>
    <t>Monitoramento do plano de ação da regional.</t>
  </si>
  <si>
    <t xml:space="preserve">Monitoramento dos planos de ação das escolas da Regional. </t>
  </si>
  <si>
    <t>Formulários ou relatórios para registro de informações.</t>
  </si>
  <si>
    <t>Indicadores de monitoramento (aulas dadas e frequência dos estudantes).</t>
  </si>
  <si>
    <t>A4D5_24</t>
  </si>
  <si>
    <t>As Regionais adaptam os processos de acompanhamento do lançamento de informações nos sistemas, de tratamento e sistematização das informações e dados.</t>
  </si>
  <si>
    <t>Indicadores de execução do plano de ação.</t>
  </si>
  <si>
    <t>intro_avaliacao</t>
  </si>
  <si>
    <t xml:space="preserve">As perguntas a seguir são sobre a ETAPA DE AVALIAÇÃO DE RESULTADOS (SMAR) do Plano de ação da Regional. </t>
  </si>
  <si>
    <t>E4D3_14</t>
  </si>
  <si>
    <t xml:space="preserve">Há ao menos um técnico na Regional responsável pela análise e sistematização dos dados e informações relacionadas ao CdG (frequência, aulas dadas, notas dos estudante e execução de ações e tarefas do plano de ação) . </t>
  </si>
  <si>
    <t>V24</t>
  </si>
  <si>
    <t xml:space="preserve">A Regional possui pelo menos um profissional capacitado para realizar alguma das atividades a seguir? </t>
  </si>
  <si>
    <t>Selecione as atividades para as quais a Regional possui ao menos um profissional apto para realizá-la.</t>
  </si>
  <si>
    <t>Extração de dados do sistema da Secretaria.</t>
  </si>
  <si>
    <t>Tratamento, adequação de formato e processsamento de dados relacionados ao CdG.</t>
  </si>
  <si>
    <t xml:space="preserve">Cálculo de indicadores educacionais e de avaliação do Plano de Ação (por exemplo, frequência, aulas dadas, notas, resultados das tarefas do plano de ação). </t>
  </si>
  <si>
    <t>Análises de dados e informações relacionadas ao CdG.</t>
  </si>
  <si>
    <t>A4D3_14</t>
  </si>
  <si>
    <t>Elaboração e homologação de relatórios para a SMAR.</t>
  </si>
  <si>
    <t>Não sei/ A  Regional não possui nenhum profissional capacitado para essas atividades.</t>
  </si>
  <si>
    <t>E4D2_8</t>
  </si>
  <si>
    <t>Os profissionais com atribuições de ações no plano da Regional participam da N2.</t>
  </si>
  <si>
    <t>2;3;5</t>
  </si>
  <si>
    <t>V25</t>
  </si>
  <si>
    <t>Oppen 09.10: Item idêntico ao Questionário do ACG e do Técnico da SEE.</t>
  </si>
  <si>
    <t>Os profissionais responsáveis pelas ações no plano de ação da Regional participam do Encontro da N2 (Encontro da SMAR)?</t>
  </si>
  <si>
    <t>Não participam.</t>
  </si>
  <si>
    <t>Sim, alguns profissionais participam.</t>
  </si>
  <si>
    <t>Sim, a maioria dos profissionais participa.</t>
  </si>
  <si>
    <t>Sim, todos os profissionais participam.</t>
  </si>
  <si>
    <t>V26</t>
  </si>
  <si>
    <t>Que profissionais participam do Encontro da N3 (Encontro da SMAR)?</t>
  </si>
  <si>
    <t>Gestores da Regional.</t>
  </si>
  <si>
    <t>ACGs (Superintendentes, Supervisores ou Tutores).</t>
  </si>
  <si>
    <t>Profissionais responsáveis pelo CdG na Regional (caso não seja o gestor).</t>
  </si>
  <si>
    <t>Coordenadores dos ACGs (Superintendentes, Supervisores ou Tutores).</t>
  </si>
  <si>
    <t>Outros profissionais.</t>
  </si>
  <si>
    <t>E4D3_16</t>
  </si>
  <si>
    <t>A equipe da Regional e o ACG sabem utilizar os indicadores de execução e estruturantes para análise dos resultados.</t>
  </si>
  <si>
    <t>V27</t>
  </si>
  <si>
    <t>Os profissionais da Regional envolvidos no Circuito de Gestão compreendem os indicadores de execução (indicador de tarefa e de ação) e estruturantes (aulas dadas, frequência e notas dos estudantes) usados na avaliação de resultados.</t>
  </si>
  <si>
    <t>A4D3_12</t>
  </si>
  <si>
    <t>E4D1_2</t>
  </si>
  <si>
    <t>O grupo gestor da regional avalia se a regional e seu conjunto de escolas estão atingindo os resultados propostos, com base nos indicadores de execução (do plano de ação) e estruturantes e posta sua analise no SIGAE no prazo previsto no calendário.</t>
  </si>
  <si>
    <t>V28</t>
  </si>
  <si>
    <t>Quais indicadores a  Regional utiliza para AVALIAR os resultados do SEU plano de ação?</t>
  </si>
  <si>
    <t>Aulas dadas nas escolas da Regional.</t>
  </si>
  <si>
    <t>Se selecionar 77 não pode selecionar as demais</t>
  </si>
  <si>
    <t>Frequência dos estudantes nas escolas da regional.</t>
  </si>
  <si>
    <t xml:space="preserve">Notas dos estudantes nas escolas da Regional. </t>
  </si>
  <si>
    <t>Proporção das TAREFAS previstas no plano de ação da regional que foram concluídas, estão em andamento e não iniciadas.</t>
  </si>
  <si>
    <t>Proporção das AÇÕES previstas no plano de ação da regional que foram concluídas, estão em andamento e não iniciadas.</t>
  </si>
  <si>
    <t>Qualidade das tarefas executadas.</t>
  </si>
  <si>
    <t>Qualidade das ações executadas.</t>
  </si>
  <si>
    <t xml:space="preserve">O grupo gestor da regional avalia se a regional e seu conjunto de escolas estão atingindo os resultados propostos, com base nos indicadores de execução (do plano de ação) e estruturantes e posta sua analise no SIGAE no prazo previsto no calendário.
</t>
  </si>
  <si>
    <t>V29</t>
  </si>
  <si>
    <t>Oppen 09.10 - Reproduzindo aqui o comentário que fizemos no do ACG: Mariana B, qual análise é postada? É na etapa de avaliação de resultados? Porque até então só estamos perguntando sobre prazos é na etapa de pactuação de metas e correção de rotas...</t>
  </si>
  <si>
    <t>As análises dos indicadores estruturantes e de execução feitas na etapa de avaliação (SMAR) são postadas no SIGAE?</t>
  </si>
  <si>
    <t xml:space="preserve"> Sim, dentro do prazo.</t>
  </si>
  <si>
    <t>E4D5_24</t>
  </si>
  <si>
    <t>As Regionais fizeram customizações em ao menos um processo da etapa de avaliação (adaptações nos processos, indicadores específicos, formulários para registro de informações, roteiros de análise e de orientação e sistematização das atividades, instruções para o uso do sistema de informações)</t>
  </si>
  <si>
    <t>V30</t>
  </si>
  <si>
    <t> Oppen 09.10: Item idêntico ao Questionário do ACG.</t>
  </si>
  <si>
    <t>Considerando a etapa de AVALIAÇÃO DE RESULTADOS (SMAR), em quais processos foram realizadas adaptações?</t>
  </si>
  <si>
    <t>É possível selecionar mais de uma alternativa. Para responder esta pergunta, por favor, considere adaptações nas atividades e processos do Circuito de Gestão, implementadas com o objetivo de adequá-los à realidade da sua regional de ensino ou das escolas.</t>
  </si>
  <si>
    <t xml:space="preserve">Acompanhamento da etapa nas escolas. </t>
  </si>
  <si>
    <t xml:space="preserve">Se registrar 77 não pode selecionar outras. </t>
  </si>
  <si>
    <t>Gráficos e tabelas.</t>
  </si>
  <si>
    <t>Indicadores de resultados ou estruturantes (aulas dadas, notas e frequência).</t>
  </si>
  <si>
    <t xml:space="preserve">Monitoramento do processo nas escolas. </t>
  </si>
  <si>
    <t>Relatórios</t>
  </si>
  <si>
    <t xml:space="preserve"> Instruções para o uso do sistema de informações</t>
  </si>
  <si>
    <t>intro_praticas</t>
  </si>
  <si>
    <t>Pensando na etapa de COMPARTILHAMENTO DE PRÁTICAS na sua Regional.</t>
  </si>
  <si>
    <t>E5D1_4</t>
  </si>
  <si>
    <t>As Regionais organizam espaços de trocas de práticas e aprendizados entre as escolas.</t>
  </si>
  <si>
    <t>V31</t>
  </si>
  <si>
    <t>Oppen 13.09: Não estamos perguntando isso para a SEE pois segundo comentários da GIPPE os encontros são realizados pelas regionais. Oppen 09.10: Está idêntico ao do ACG e ao da Dupla Gestora no qual tem (ou da SEE).</t>
  </si>
  <si>
    <t>A equipe da Secretaria realiza encontros para compartilhamento de práticas e experiência entre profissionais (ou gestores) das Regionais?</t>
  </si>
  <si>
    <t>Selecione a(s) alternativa(s) que mais se aproxima(m) da sua realidade.</t>
  </si>
  <si>
    <t>E5D1_3</t>
  </si>
  <si>
    <t>A Secretaria Estadual de Educação organiza espaços de trocas de práticas e aprendizados entre as Regionais.</t>
  </si>
  <si>
    <t>Sim, ocorrem anualmente.</t>
  </si>
  <si>
    <t>E5D1_2</t>
  </si>
  <si>
    <t>São realizados encontros para troca de práticas e aprendizado entre profissionais das regionais.</t>
  </si>
  <si>
    <t>Sim, ocorrem semestralmente.</t>
  </si>
  <si>
    <t>E5D1_1</t>
  </si>
  <si>
    <t>São realizados encontros para troca de práticas e aprendizado entre profissionais das escolas.</t>
  </si>
  <si>
    <t>Sim, ocorrem mais de uma vez por semestre.</t>
  </si>
  <si>
    <t>E5D2_5</t>
  </si>
  <si>
    <t xml:space="preserve">Profissionais das Regionais participam regularmente dos encontros para troca de práticas e aprendizados. </t>
  </si>
  <si>
    <t>V32</t>
  </si>
  <si>
    <t>Nos últimos 12 meses, você (ou outro profissional da sua Regional) participou de encontros para compartilhamento de práticas organizados pelos profissionais da Secretaria?</t>
  </si>
  <si>
    <t>Não conseguimos participar.</t>
  </si>
  <si>
    <t>3 OU 4</t>
  </si>
  <si>
    <t>Sim, participamos de alguns encontros.</t>
  </si>
  <si>
    <t xml:space="preserve"> Sim,  participamos da maioria dos encontros.</t>
  </si>
  <si>
    <t>Sim,  participamos de todos os encontros.</t>
  </si>
  <si>
    <t>E5D2_10</t>
  </si>
  <si>
    <t>Os profissionais das Regionais possuem informações sobre práticas desenvolvidas por seus pares ou outras instâncias.</t>
  </si>
  <si>
    <t>V33</t>
  </si>
  <si>
    <t>Você tem acesso a informações sobre ações desenvolvidas por outros profissionais da rede de ensino?</t>
  </si>
  <si>
    <t>E5D2_8</t>
  </si>
  <si>
    <t>Profissionais das Regionais reconhecem a importância do compartilhamento de práticas e experiências para ampliação dos repertórios e da eficiência, eficácia e efetividade do plano de ação.</t>
  </si>
  <si>
    <t>V34</t>
  </si>
  <si>
    <t>O compartilhamento de práticas e experiências nos ajuda a aprimorar as ações e estratégias da Regional para atingir os objetivos do programa Jovem de Futuro.</t>
  </si>
  <si>
    <t>E5D5_22</t>
  </si>
  <si>
    <t>As regionais fizeram customizações em ao menos um processo da etapa de compartilhamento de práticas  (indicadores específicos, formulários para registro de informações, roteiros de análise e de orientação e sistematização das atividades, instruções para o uso do sistema de informações).</t>
  </si>
  <si>
    <t>V35</t>
  </si>
  <si>
    <t>Considerando a etapa de COMPARTILHAMENTO DE PRÁTICAS, em quais processos foram realizadas adaptações?</t>
  </si>
  <si>
    <t>Formato dos encontros.</t>
  </si>
  <si>
    <t>Materiais disponíveis.</t>
  </si>
  <si>
    <t>Organização dos encontos.</t>
  </si>
  <si>
    <t>Participantes dos encontros.</t>
  </si>
  <si>
    <t>Roteiros para análise, orientação ou sistematização das atividades.</t>
  </si>
  <si>
    <t>intro_correcao</t>
  </si>
  <si>
    <t>As próximas perguntas são referentes à etapa de CORREÇÃO DE ROTAS do plano de ação da sua Regional.</t>
  </si>
  <si>
    <t>E6D2_8</t>
  </si>
  <si>
    <t>A Regional mobiliza profissionais de diferentes áreas (área financeira, pedagógica, infraestrutura, pessoas, etc.)  para a etapa de correção de rotas.</t>
  </si>
  <si>
    <t>V36</t>
  </si>
  <si>
    <t>Quais profissionais da Regional  PARTICIPAM do processo de correção de rotas?</t>
  </si>
  <si>
    <t>Se selecionar 77 não pode selecionar outras</t>
  </si>
  <si>
    <t>Coordenador dos ACGs (Superintendentes, Supervisores ou Tutores).</t>
  </si>
  <si>
    <t>E6D2_5</t>
  </si>
  <si>
    <t>As equipes das Regionais postam no Sistema de Gestão para o Avanço Contínuo da Educação (Sigae) os novos Planos de Ação dentro do prazo pactuado.</t>
  </si>
  <si>
    <t>2;5</t>
  </si>
  <si>
    <t>V37</t>
  </si>
  <si>
    <t>Durante a etapa de correção de rotas, a Regional insere o plano de ação revisado no Sistema de Gestão para o Avanço Contínuo da Educação (Sigae) dentro do prazo?</t>
  </si>
  <si>
    <t>Não insere.</t>
  </si>
  <si>
    <t>Insere fora do prazo.</t>
  </si>
  <si>
    <t>Insere dentro do prazo. </t>
  </si>
  <si>
    <t>intro_likert</t>
  </si>
  <si>
    <t>Por favor, indique o quanto você concorda com cada uma das seguintes afirmações:</t>
  </si>
  <si>
    <t>E6D2_11</t>
  </si>
  <si>
    <t>Profissionais das Regionais diferenciam a etapa de correção de rotas dos ajustes feitos ao longo do processo de execução do plano.</t>
  </si>
  <si>
    <t>V38</t>
  </si>
  <si>
    <t xml:space="preserve">Não existe diferença entre os ajustes feitos no plano de ação ao longo da etapa de execução e os que são feitos durante a etapa de correção de rotas. </t>
  </si>
  <si>
    <t>E6D2_14</t>
  </si>
  <si>
    <t>Profissionais das Regionais reconhecem a importancia da etapa de correção de rotas para a ampliar a eficiencia, eficácia e efetividade do plano de ação.</t>
  </si>
  <si>
    <t>V39</t>
  </si>
  <si>
    <t>A etapa de correção de rotas é essencial para o aprimoramento do plano de ação da regional e das escolas.</t>
  </si>
  <si>
    <t>V40</t>
  </si>
  <si>
    <t>A etapa de correção de rotas é fundamental para garantir melhores resultados de aprendizagem, aumento da aprovação e permanência dos estudantes na escola.</t>
  </si>
  <si>
    <t>E6D4_24</t>
  </si>
  <si>
    <t>As Regionais, a partir da correção de rotas, definem novas prioridades ou projetos a serem adotados.</t>
  </si>
  <si>
    <t>V41</t>
  </si>
  <si>
    <t>Com base na correção de rotas são definidas novas prioridades, ações, programas ou projetos a serem adotados pela Regional.</t>
  </si>
  <si>
    <t>traga aquelas perguntas sobre correções de rotas para ca - 1. na etapa de correções de rotas, a equipe da regional usa os resultados da etapa de avaliação, 2. idem usa as pratcas compartilhadas</t>
  </si>
  <si>
    <t>E6D1_2</t>
  </si>
  <si>
    <t>Os grupos gestores das Regionais reformulam seus planos de ação considerando os resultados da etapa de avaliação, as práticas e experiências compartilhadas.</t>
  </si>
  <si>
    <t>V42</t>
  </si>
  <si>
    <t>Na etapa de correção de rotas, o plano de ação da REGIONAL  é revisado considerando os RESULTADOS da etapa de avaliação.</t>
  </si>
  <si>
    <t>V43</t>
  </si>
  <si>
    <t>Na etapa de correção de rotas, o plano de ação da REGIONAL  é revisado considerando as PRÁTICAS E EXPERIÊNCIAS COMPARTILHADAS com outras Regionais.</t>
  </si>
  <si>
    <t>E6D5_26</t>
  </si>
  <si>
    <t>As regionais fizeram customizações em ao menos um processo da etapa de correção de rotas (indicadores específicos, formulários para registro de informações, roteiros de análise e de orientação e sistematização das atividades, instruções para o uso do sistema de informações).</t>
  </si>
  <si>
    <t>V44</t>
  </si>
  <si>
    <t>Considerando a etapa de CORREÇÃO DE ROTAS, em quais processos foram realizadas adaptações?</t>
  </si>
  <si>
    <t xml:space="preserve">É possível selecionar mais de uma alternativa. Para responder esta pergunta, por favor, considere adaptações nas atividades e processos do Circuito de gestao, implementadas com o objetivo de adequá-los à realidade da sua regional de ensino ou das escolas. </t>
  </si>
  <si>
    <t>Acompanhamento das escolas.</t>
  </si>
  <si>
    <t>Indicadores e informações utilizados.</t>
  </si>
  <si>
    <t>Processos da etapa</t>
  </si>
  <si>
    <t>Protocolos.</t>
  </si>
  <si>
    <t>bloco_2</t>
  </si>
  <si>
    <t>BLOCO 2: APOIO DA SECRETARIA À IMPLEMENTAÇÃO DO CIRCUITO DE GESTÃO NA REGIONAL</t>
  </si>
  <si>
    <t>E3D4_26</t>
  </si>
  <si>
    <t>A Secretaria Estadual de Educação acompanha e apoia o processo de execução do plano de ação das regionais.</t>
  </si>
  <si>
    <t>V45</t>
  </si>
  <si>
    <t>Oppen 06.10: item idêntico utilizado no Questionário do Técnico da SEE</t>
  </si>
  <si>
    <t>A equipe técnica da Secretaria ORIENTA a equipe da sua regional em quais dos seguintes processos?</t>
  </si>
  <si>
    <t>Diagnóstico da regional.</t>
  </si>
  <si>
    <t>Mapeamento dos riscos que não estão sob a gerência da regional e preenchimento do painel de risco</t>
  </si>
  <si>
    <t>Elaboração do plano de ação da Regional.</t>
  </si>
  <si>
    <t>Inserção das informações relacionadas à execução das ações e tarefas do plano de ação da Regional no Sistema de Gestão para o Avanço Contínuo da Educação (SIGAE).</t>
  </si>
  <si>
    <t>Lançamento das informações sobre frequência dos estudantes, aulas dadas e notas das avaliações internas no sistema da Secretaria.</t>
  </si>
  <si>
    <t>Orientação para o acompanhamento e apoio à implementação do Circuito de Gestão nas escolas</t>
  </si>
  <si>
    <t>Análise dos indicadores de execução do plano de ação da regional.</t>
  </si>
  <si>
    <t>Análise dos indicadores estruturantes (aulas dadas, notas e frequência dos estudantes) das escolas da regional.</t>
  </si>
  <si>
    <t>E6D2_16</t>
  </si>
  <si>
    <t>Há ao menos um profissional na Secretaria Estadual de Educação responsável por orientar, acompanhar e apoiar o trabalho do técnico da regional na etapa de correção de rotas.</t>
  </si>
  <si>
    <t>Reflexão sobre os resultados da etapa de avaliação do plano da Regional</t>
  </si>
  <si>
    <r>
      <t>Preparação da reunião da etapa de avaliação do plano de ação (</t>
    </r>
    <r>
      <rPr>
        <b/>
        <sz val="11"/>
        <rFont val="Calibri"/>
        <family val="2"/>
      </rPr>
      <t>N2- SMAR</t>
    </r>
    <r>
      <rPr>
        <sz val="11"/>
        <rFont val="Calibri"/>
        <family val="2"/>
      </rPr>
      <t>).</t>
    </r>
  </si>
  <si>
    <r>
      <t>Preparação da reunião da etapa de avaliação do plano de ação (</t>
    </r>
    <r>
      <rPr>
        <b/>
        <sz val="11"/>
        <rFont val="Calibri"/>
        <family val="2"/>
      </rPr>
      <t>N3- SMAR</t>
    </r>
    <r>
      <rPr>
        <sz val="11"/>
        <rFont val="Calibri"/>
        <family val="2"/>
      </rPr>
      <t>).</t>
    </r>
  </si>
  <si>
    <t>Identificação e seleção de práticas (ou projetos) da regional para serem compartilhados com outras regionais.</t>
  </si>
  <si>
    <t>E3D3_25</t>
  </si>
  <si>
    <t>A Secretaria conta com uma equipe técnica para acompanhamento e execução das ações prevista no CdG. </t>
  </si>
  <si>
    <t>Preparação dos materiais para os encontros de compartilhamento de práticas entre as regionais.</t>
  </si>
  <si>
    <t>Reflexão sobre as práticas de outras regionais.</t>
  </si>
  <si>
    <t>E3D4_29</t>
  </si>
  <si>
    <t>A Secretaria orienta as regionais  para a inserção dos dados sobre as tarefas e resultados dos seus respectivos planos de ação.</t>
  </si>
  <si>
    <t>Preparação da etapa de correção de rotas da Regional.</t>
  </si>
  <si>
    <t>Decisão sobre possíveis ajustes ou correções no plano de ação da Regional.</t>
  </si>
  <si>
    <t>A4D4_18</t>
  </si>
  <si>
    <t>Engajamento e mobilização das equipes da regional e das escolas no circuito.</t>
  </si>
  <si>
    <t>Processo de pactuação de metas com as escolas.</t>
  </si>
  <si>
    <t>E4D4_21</t>
  </si>
  <si>
    <t>Os profissionais da Secretaria Estadual de Educação analisam os indicadores de execução do plano de ação e estruturantes das Regionais.</t>
  </si>
  <si>
    <t>Organização da etapa de compartilhamento de práticas entre escolas.</t>
  </si>
  <si>
    <t>A4D4_22</t>
  </si>
  <si>
    <t>Não sei / A SEE não realiza orientações desses processos.</t>
  </si>
  <si>
    <t>V46</t>
  </si>
  <si>
    <t> Oppen 06.10: item idêntico utilizado no Questionário do Técnico da SEE</t>
  </si>
  <si>
    <t>A equipe técnica da Secretaria APOIA a equipe da sua regional em quais dos seguintes processos?</t>
  </si>
  <si>
    <t>Se selecionar 77 não pode selecionar outro.</t>
  </si>
  <si>
    <t>A Secretaria conta com uma equipe técnica para acompanhamento e execução das ações prevista no CdG.</t>
  </si>
  <si>
    <t>Análise dos indicadores estruturantes (aulas dadas, notas e frequência dos estudantes) da regional.</t>
  </si>
  <si>
    <t>Reflexão sobre os resultados da etapa de avaliação do plano de ação da Regional.</t>
  </si>
  <si>
    <t>Preparação dos materiais para os encontros de compartilhamento de práticas entre Regionais.</t>
  </si>
  <si>
    <t>Preparação da etapa de correção de rotas entre Regionais.</t>
  </si>
  <si>
    <t>E6D4_21</t>
  </si>
  <si>
    <t>A Secretaria apoia tecnicamente as regionais na correção de rotas.</t>
  </si>
  <si>
    <t>E5D4_20</t>
  </si>
  <si>
    <t>O profissional da Secretaria responsável pelo apoio às regionais apoia a equipe gestora na identificação e seleção de práticas com potencial para gerar reflexão nos encontros para troca de práticas e aprendizados com pares.</t>
  </si>
  <si>
    <t>E2D4_23</t>
  </si>
  <si>
    <t>A Secretaria Estadual de Educação realiza a análise dos dados provenientes dos planos de ação das regionais, de acordo com os objetivos estratégicos traçados, prepara e realiza as devolutivas para o aprimoramento dos planos de ação das regionais .</t>
  </si>
  <si>
    <t>V47</t>
  </si>
  <si>
    <t>A equipe técnica da Secretaria deu devolutiva sobre o  plano de ação da sua regional?</t>
  </si>
  <si>
    <t>E5D3_15</t>
  </si>
  <si>
    <t>A Secretaria Estadual de Educação possui um banco de práticas para ampliação do repertório, com informações suficientes para permitir replicabilidade.</t>
  </si>
  <si>
    <t>V48</t>
  </si>
  <si>
    <t>Oppen 09.10: Item idêntico ao da Dupla Gestora e ao do ACG</t>
  </si>
  <si>
    <t>Há um banco de práticas disponível na SECRETARIA para ser consultado pela equipe da Regional e pelas escolas nas etapas de planejamento e correção de rotas?</t>
  </si>
  <si>
    <t>Não há.</t>
  </si>
  <si>
    <t>Há apenas para os profissionais das regionais.</t>
  </si>
  <si>
    <t>Há apenas para os profissionais das escolas.</t>
  </si>
  <si>
    <t>Há para os profissionais das regionais e das escolas.</t>
  </si>
  <si>
    <t>E5D3_18</t>
  </si>
  <si>
    <t>A Secretaria Estadual de Educação e as Regionais identificam e disseminam práticas com potencial para gerar reflexão junto às regionais e escolas, a partir dos objetivos e marcos a serem alcançados e das estratégias adotadas pelas escolas e regionais.</t>
  </si>
  <si>
    <t>V49</t>
  </si>
  <si>
    <t>Oppen 07.10: Está idêntico ao do técnico da SEE. Oppen 09.10: Está idêntico ao do ACG.</t>
  </si>
  <si>
    <t>A Secretaria identifica e dissemina as práticas com potencial para gerar uma reflexão junto às regionais e escolas?</t>
  </si>
  <si>
    <t>1. Sim.</t>
  </si>
  <si>
    <t>2. Não.</t>
  </si>
  <si>
    <t>E5D3_13</t>
  </si>
  <si>
    <t>A Secretaria Estadual de Educação desenvolvem estratégias de mobilização, elaboram materiais de apoio, garantem espaços para a interação e troca entre as equipes escolares e das regionais.</t>
  </si>
  <si>
    <t>V50</t>
  </si>
  <si>
    <t>A Secretaria elabora materiais para apoiar o processo de compartilhamento de práticas entre as regionais?</t>
  </si>
  <si>
    <t>Jogar esta pegunta para a etapa de compartilhamento de praticas entre Regionais (no CdG na regional) e entre escolas (no CdG das escolas). A Secretaria disponibiliza materiais para apoiar o processo de compartilhamento de praticas (entre Regionais) (entre escolas)?</t>
  </si>
  <si>
    <t>E5D3_16</t>
  </si>
  <si>
    <t>A Secretaria Estadual de Educação estabelece parâmetros de aferição de práticas a serem compartilhadas, indicadores de sucesso e replicabilidade.</t>
  </si>
  <si>
    <t>V51</t>
  </si>
  <si>
    <t>Oppen 09.10: item idêntico utilizado no Questionário do Técnico da SEE</t>
  </si>
  <si>
    <t xml:space="preserve">A Secretaria possui critérios para seleção das práticas que serão compartilhadas?  </t>
  </si>
  <si>
    <t>bloco_3</t>
  </si>
  <si>
    <t>BLOCO 3: APOIO DA REGIONAL AOS ACGs (SUPERINTENDENTES, SUPERVISORES, TUTORES).
As perguntas a seguir são sobre o apoio realizado pela Regional ao trabalho desempenhado pelos ACGs, ou seja, pelos profissionais da Regional que apoiam a implementação do Circuito de Gestão nas escolas. Sabemos que o ACG possui cargos distintos, dependendo do estado. No Ceará, ele recebe o nome de Superintendente. No Espírito Santo, de Supervisor; em Goiás, de Tutor, e, no Piauí, de Técnico de Ensino ou ACG.</t>
  </si>
  <si>
    <t>V52</t>
  </si>
  <si>
    <t>Há algum profissional (ou equipe) na Regional responsável por ORIENTAR o trabalho dos ACGs (Superintendentes, Supervisores ou Tutores)?</t>
  </si>
  <si>
    <t>E5D2_12</t>
  </si>
  <si>
    <t>Há ao menos um profissional na Regional responsável por sistematizar as praticas coletadas pelos ACGs.</t>
  </si>
  <si>
    <t>V53</t>
  </si>
  <si>
    <t> Oppen 09.10: Item idêntico ao do ACG</t>
  </si>
  <si>
    <t>Em quais dos seguintes processos?</t>
  </si>
  <si>
    <t>Acompanhamento e apoio à implementação do Circuito de Gestão nas escolas.</t>
  </si>
  <si>
    <t>E2D2_16</t>
  </si>
  <si>
    <t>Há profissionais nas Regionais que apoiam os ACGs na realização das devolutivas, reuniões de trabalho e visitas técnicas para elaboração do plano de ação das escolas sob sua jurisdição.</t>
  </si>
  <si>
    <t>Análise do Plano de Ação das escolas.</t>
  </si>
  <si>
    <t>A3D2_5</t>
  </si>
  <si>
    <t xml:space="preserve">As regionais orientam e apoiam o ACG nas ações de mobilização e engajamento das escolas sob sua jurisdição. </t>
  </si>
  <si>
    <t>Análise dos indicadores de execução do plano de ação das escolas.</t>
  </si>
  <si>
    <t>E3D3_22</t>
  </si>
  <si>
    <t>Há profissionais nas Regionais que apoiam os ACGs no acompanhamento das atividades das escolas.</t>
  </si>
  <si>
    <t>Análise dos indicadores estruturantes (aulas dadas, notas e frequência dos estudantes) das escolas.</t>
  </si>
  <si>
    <t>E4D2_5</t>
  </si>
  <si>
    <t>Há ao menos um profissional na Regional responsável pela análise dos resultados das escolas, da execução do plano de ação e pelo diálogo com os ACGs sobre estes resultados.</t>
  </si>
  <si>
    <t>Reflexão sobre os resultados da etapa de avaliação do plano das escolas.</t>
  </si>
  <si>
    <t>E6D2_17</t>
  </si>
  <si>
    <t xml:space="preserve">Há ao menos um profissional da Regional para apoiar os ACGs no acompanhamento da etapa de correção de rotas nas escolas. </t>
  </si>
  <si>
    <t>Preparação da reunião da etapa de avaliação do plano de ação com as escolas (N1- SMAR).</t>
  </si>
  <si>
    <t>Reflexão sobre as práticas das escolas que os ACGs acompanham.</t>
  </si>
  <si>
    <t>Preparação dos materiais para os encontros de compartilhamento de práticas entre as escolas.</t>
  </si>
  <si>
    <t>Identificação e seleção de práticas (ou projetos) das escolas que os ACGs acompanham para serem compartilhadas com outras escolas da Regional.</t>
  </si>
  <si>
    <t>Preparação da etapa de correção de rotas nas escolas.</t>
  </si>
  <si>
    <t>Decisão sobre possíveis ajustes ou correções no plano de ação das escolas.</t>
  </si>
  <si>
    <t>Engajamento e mobilização da equipe das escolas para implementação do Circuito de Gestão.</t>
  </si>
  <si>
    <t>Não sei / A SRE não realiza orientações desses processos.</t>
  </si>
  <si>
    <t>V54</t>
  </si>
  <si>
    <t>Há algum profissional ou equipe na Regional responsavel por APOIAR o trabalho dos ACGs (Superintendentes, Supervisores ou, Tutores)?</t>
  </si>
  <si>
    <t>V55</t>
  </si>
  <si>
    <r>
      <t xml:space="preserve">Análise dos indicadores estruturantes (aulas dadas, notas e frequência dos estudantes) </t>
    </r>
    <r>
      <rPr>
        <b/>
        <sz val="12"/>
        <rFont val="Public Sans"/>
      </rPr>
      <t>das escolas.</t>
    </r>
  </si>
  <si>
    <t>Reflexão sobre as práticas das escolas.</t>
  </si>
  <si>
    <t>bloco_4</t>
  </si>
  <si>
    <t>BLOCO 4: APOIO DOS ACGs (SUPERINTENDENTES, SUPERVISORES E TUTORES) À IMPLEMENTAÇÃO DO CDG NA ESCOLA.
Considerando o trabalho desempenhado pelos ACGs  (Superintendentes, Supervisores ou Tutores) da sua regional...</t>
  </si>
  <si>
    <t>E5D4_19</t>
  </si>
  <si>
    <t>O ACG apoia a dupla gestora na identificação e seleção de práticas com potencial para gerar reflexão nos encontros para troca de práticas e aprendizados com pares.</t>
  </si>
  <si>
    <t>V56</t>
  </si>
  <si>
    <t>Os ACGs (Superintendentes, Supervisores ou Tutores) ACOMPANHAM as escolas na implementação das ações e processos do CdG, buscando cumprir os prazos pactuados pela rede?</t>
  </si>
  <si>
    <t>A3D4_9</t>
  </si>
  <si>
    <t xml:space="preserve">O ACG orienta  e apoia  a dupla gestora nas ações de mobilização e engajamento da comunidade escolar. </t>
  </si>
  <si>
    <t>Sim, alguns ACGs (Superintendentes, Supervisores ou Tutores) acompanham.</t>
  </si>
  <si>
    <t>A4D4_19</t>
  </si>
  <si>
    <t xml:space="preserve">Os ACGs orientam (e acompanham) as escolas para a inserção dos dados sobre as tarefas e resultados dos seus respectivos planos de ação. </t>
  </si>
  <si>
    <t>Sim, a maioria dos ACGs (Superintendentes, Supervisores ou Tutores) acompanha.</t>
  </si>
  <si>
    <t>A4D4_20</t>
  </si>
  <si>
    <t>Os ACGs orientam (e acompanham) as escolas sob sua jurisdição no lançamento das frequência dos estudantes, aulas dadas e notas das avaliações internas.</t>
  </si>
  <si>
    <t>Sim, todos os ACGs (Superintendentes, Supervisores ou Tutores) acompanham.</t>
  </si>
  <si>
    <t>A4D4_21</t>
  </si>
  <si>
    <t>Os ACGs analisam os indicadores de execução do plano de ação e estruturantes da escola.</t>
  </si>
  <si>
    <t>E2D4_24</t>
  </si>
  <si>
    <t>O ACG apoia a equipe gestora na elaboração do plano de ação da escola.</t>
  </si>
  <si>
    <t>V57</t>
  </si>
  <si>
    <t>Os ACGs (Superintendentes, Supervisores ou Tutores) ORIENTAM as escolas na implementação das ações e processos do CdG, buscando cumprir os prazos pactuados pela rede?</t>
  </si>
  <si>
    <t>E3D4_27</t>
  </si>
  <si>
    <t>O ACG acompanha e apoia a execução do plano da escola.</t>
  </si>
  <si>
    <t>Sim, alguns ACGs (Superintendentes, Supervisores ou Tutores) orientam.</t>
  </si>
  <si>
    <t>E3D4_31</t>
  </si>
  <si>
    <t>Sim, a maioria dos ACGs (Superintendentes, Supervisores ou Tutores) orienta.</t>
  </si>
  <si>
    <t>E4D4_19</t>
  </si>
  <si>
    <t>Sim, todos os ACGs (Superintendentes, Supervisores ou Tutores) orientam.</t>
  </si>
  <si>
    <t>E4D4_20</t>
  </si>
  <si>
    <t xml:space="preserve">Os ACGs dialogam com a equipe gestora da escola sobre os resultados dos indicadores de execução do plano de ação e estruturantes. </t>
  </si>
  <si>
    <t>E3D4_28</t>
  </si>
  <si>
    <t>O ACG encaminha as demandas das escolas a Regional quando necessário.</t>
  </si>
  <si>
    <t>V58</t>
  </si>
  <si>
    <t>Os ACGs (Superintendentes, Supervisores ou Tutores) APOIAM as escolas na implementação das ações e processos  do CdG, buscando cumprir os prazos pactuados pela rede?</t>
  </si>
  <si>
    <t>Sim, alguns ACGs (Superintendentes, Supervisores ou Tutores) apoiam.</t>
  </si>
  <si>
    <t>Sim, a maioria dos ACGs (Superintendentes, Supervisores ou Tutores) apoia.</t>
  </si>
  <si>
    <t>Sim, todos os ACGs (Superintendentes, Supervisores ou Tutores) apoiam.</t>
  </si>
  <si>
    <t>E2D4_25</t>
  </si>
  <si>
    <t>O ACG analisa o plano de ação das escolas que acompanha quanto à coerência com os objetivos estratégicos e entre os problemas, causas e ações e realiza as devolutivas para o aprimoramento dos planos de ação.</t>
  </si>
  <si>
    <t>V59</t>
  </si>
  <si>
    <t>Os ACGs (Superintendentes, Supervisores ou Tutores) da sua Regional costumam considerar quais aspectos na análise dos planos de ação das escolas que eles acompanham?</t>
  </si>
  <si>
    <t>Coerência com os objetivos estratégicos da rede.</t>
  </si>
  <si>
    <t>Coerência entre os desafios (ou problemas identificados), ações e tarefas.</t>
  </si>
  <si>
    <t>Qualidade das ações.</t>
  </si>
  <si>
    <t>E2D3_21</t>
  </si>
  <si>
    <t>Há ACGs suficientes para acompanhar o processo de planejamento das escolas da regional.</t>
  </si>
  <si>
    <t>V60</t>
  </si>
  <si>
    <t>Existe um número suficiente de ACGs (Superintendentes, Supervisores ou Tutores) na sua Regional para acompanhar e apoiar as escolas na implementação das atividades e processos do Circuito de Gestão.</t>
  </si>
  <si>
    <t>E6D3_18</t>
  </si>
  <si>
    <t xml:space="preserve">Há AGCs suficientes para acompanhar as escolas na etapa de correção de rotas.
</t>
  </si>
  <si>
    <t xml:space="preserve">2;3
</t>
  </si>
  <si>
    <t>E3D3_24</t>
  </si>
  <si>
    <t xml:space="preserve"> A Secretaria disponibiliza às regionais  recursos necessários (carro, computador, rede) para que os ACGs realizem suas atividades de acompanhamento das escolas.
</t>
  </si>
  <si>
    <t>V61</t>
  </si>
  <si>
    <t>Oppen 09.10: item idêntico utilizado no Questionário do ACG</t>
  </si>
  <si>
    <r>
      <rPr>
        <sz val="12"/>
        <color rgb="FF000000"/>
        <rFont val="Public Sans"/>
      </rPr>
      <t xml:space="preserve">A Secretaria disponibilizou para a minha regional os  recursos necessários (carro, computador, rede) para que os ACGs (Superintendentes, Supervisores ou Tutores) consigam realizar </t>
    </r>
    <r>
      <rPr>
        <sz val="12"/>
        <color rgb="FF002060"/>
        <rFont val="Public Sans"/>
      </rPr>
      <t xml:space="preserve">um </t>
    </r>
    <r>
      <rPr>
        <sz val="12"/>
        <color rgb="FF000000"/>
        <rFont val="Public Sans"/>
      </rPr>
      <t xml:space="preserve">acompanhamento </t>
    </r>
    <r>
      <rPr>
        <b/>
        <sz val="12"/>
        <color rgb="FF002060"/>
        <rFont val="Public Sans"/>
      </rPr>
      <t>adequado</t>
    </r>
    <r>
      <rPr>
        <sz val="12"/>
        <color rgb="FF000000"/>
        <rFont val="Public Sans"/>
      </rPr>
      <t xml:space="preserve"> das escolas.</t>
    </r>
  </si>
  <si>
    <t>E4D3_17</t>
  </si>
  <si>
    <t>Há ACGs suficientes para realizar adequadamente o acompanhamento do processo de avalição das escolas.</t>
  </si>
  <si>
    <t>V62</t>
  </si>
  <si>
    <t>O número de escolas atribuídas a cada ACG (Superintendentes, Supervisores ou Tutores) da minha Regional permite o acompanhamento e apoio adequados às escolas para implementação das atividades e processos do Circuito de Gestão e reflexão sobre os resultados alcançados.</t>
  </si>
  <si>
    <t>A2D2_8</t>
  </si>
  <si>
    <t>Existe um profissional em cada regional que apoia no processo formativo dos ACGs e Gestores Escolares</t>
  </si>
  <si>
    <t>V63</t>
  </si>
  <si>
    <t>A sua regional possui algum  profissional que apoia ou orienta o PROCESSO FORMATIVO dos ACGs (Superintendente, Supervisores e Tutores)?</t>
  </si>
  <si>
    <t>Selecione qual das alternativas mais se aproxima da realidade da sua Secretaria.  LEMBRE-SE: O ACG possui cargos distintos, dependendo do estado. No Ceará, ele recebe o nome de Superintendente. No Espírito Santo, de Supervisor; em Goiás, de Tutor; e, no Piauí, de Técnico de Ensino ou ACG.</t>
  </si>
  <si>
    <t>V64</t>
  </si>
  <si>
    <t xml:space="preserve">Oppen 09.10: Item idêntico ao do ACG. Não temos descritor associado a esse item. </t>
  </si>
  <si>
    <t>Há um banco de práticas disponível na sua REGIONAL para ser consultado pelos profissionais da regional e das escolas nas etapas de planejamento e correção de rotas?</t>
  </si>
  <si>
    <t>Há apenas para os profissionais da regional.</t>
  </si>
  <si>
    <t>Há para os profissionais da regional e das escolas.</t>
  </si>
  <si>
    <t>2;3;4;5</t>
  </si>
  <si>
    <t>V65</t>
  </si>
  <si>
    <t>Oppen 04.10: item idêntico ao Questionário do ACG</t>
  </si>
  <si>
    <t>A equipe da Regional (ou da Secretaria) realiza encontros para compartilhamento de práticas e experiência entre diretores e/ou coordenadores pedagógicos das escolas?</t>
  </si>
  <si>
    <t>V66</t>
  </si>
  <si>
    <t>Oppen 04.10: mesma estratégia utilizada no Questionário do Técnico da SEE, com adaptações</t>
  </si>
  <si>
    <t>A Regional identifica e dissemina as práticas com potencial para gerar reflexão junto às escolas?</t>
  </si>
  <si>
    <t>E5D3_14</t>
  </si>
  <si>
    <t>As Regionais desenvolvem estratégias de mobilização, elaboram materiais de apoio, garantem espaços para a interação e troca entre as equipes escolares.</t>
  </si>
  <si>
    <t>V67</t>
  </si>
  <si>
    <t>Oppen 04.10: item idêntico ao Questionário da Dupla Gestora e ACG</t>
  </si>
  <si>
    <t>As sistematizações dos encontros de compartilhamento de práticas são compartilhadas com os diretores e/ou coordenadores pedagógicos da rede?</t>
  </si>
  <si>
    <t xml:space="preserve">Não é  realizado o compartilhamento das informações. </t>
  </si>
  <si>
    <t>Sim, de alguns encontros.</t>
  </si>
  <si>
    <t>Sim, da maioria dos encontros.</t>
  </si>
  <si>
    <t>Sim, de todos os encontros.</t>
  </si>
  <si>
    <t>bloco_5</t>
  </si>
  <si>
    <t>Oppen 09.10: Aqui ficou um pouco diferente do ACG e da Escola porque a pessoa vai pensar no conjunto de escolas da regional, correto? Estratégia similar ao que fizemos no técnico da SEE</t>
  </si>
  <si>
    <t>BLOCO 5: CIRCUITO DE GESTÃO NAS ESCOLAS.
As próximas perguntas são sobre a implementação do Circuito de Gestão nas escolas das regional.</t>
  </si>
  <si>
    <t>E1D2_7</t>
  </si>
  <si>
    <t>A equipe escolar conhece suas metas.</t>
  </si>
  <si>
    <t>V68</t>
  </si>
  <si>
    <t>Oppen 04.10: item idêntico ao Questionário da Dupla Gestora e ACG. Alterações em vermelho.</t>
  </si>
  <si>
    <r>
      <t xml:space="preserve">As equipes escolares da sua </t>
    </r>
    <r>
      <rPr>
        <sz val="11"/>
        <color rgb="FF002060"/>
        <rFont val="Public Sans"/>
      </rPr>
      <t>regional</t>
    </r>
    <r>
      <rPr>
        <sz val="11"/>
        <rFont val="Public Sans"/>
      </rPr>
      <t xml:space="preserve"> conhecem a META da escola? </t>
    </r>
  </si>
  <si>
    <t>Lembrando que a meta é calculada a partir do IDEB*, uma combinação entre os resultados de Língua Portuguesa e Matemática dos estudantes nas avaliações externas estaduais e do fluxo dos estudantes (taxa de aprovação).</t>
  </si>
  <si>
    <t>Sim, em algumas escolas.</t>
  </si>
  <si>
    <t>Sim, na maioria das escolas.</t>
  </si>
  <si>
    <t>Sim, em todas as escolas.</t>
  </si>
  <si>
    <t>As escolas não possuem metas - Não sei.</t>
  </si>
  <si>
    <t>E2D1_12</t>
  </si>
  <si>
    <t>Os planos de ação das Escolas são elaborados com base no diagnóstico feito no ano anterior, com foco nos resultados de aprendizagem e fluxo (aprovação e abandono).</t>
  </si>
  <si>
    <t>V69</t>
  </si>
  <si>
    <t xml:space="preserve"> Oppen 09.10: Item idêntico ao do ACG. Alterações em vermelho</t>
  </si>
  <si>
    <t>Os planos de ação das Escolas da sua regional  são elaborados com base no diagnóstico feito no ano anterior, com foco nos resultados de aprendizagem e fluxo (aprovação e abandono) e levam em consideração os objetivos estratégicos da rede e a meta da escola.</t>
  </si>
  <si>
    <t>E2D1_6</t>
  </si>
  <si>
    <t>As Escolas inserem seus planos de ação no Sistema de Gestão para o Avanço Contínuo da Educação (Sigae) no prazo estipulado pelo cronograma pactuado com a rede.</t>
  </si>
  <si>
    <t>3;4;5</t>
  </si>
  <si>
    <t>V70</t>
  </si>
  <si>
    <t xml:space="preserve">Oppen 09.10: Enunciado está idêntico. Contudo, a pergunta é binária no quest do ACG. </t>
  </si>
  <si>
    <r>
      <t xml:space="preserve">Os planos de ação das Escolas da sua </t>
    </r>
    <r>
      <rPr>
        <sz val="11"/>
        <color rgb="FF002060"/>
        <rFont val="Public Sans"/>
      </rPr>
      <t>regional</t>
    </r>
    <r>
      <rPr>
        <sz val="11"/>
        <rFont val="Public Sans"/>
      </rPr>
      <t xml:space="preserve"> foram  postados no Sistema de Gestão para o Avanço Contínuo da Educação (Sigae) dentro do prazo?</t>
    </r>
  </si>
  <si>
    <t>Selecione a alternativa que mais se aproxima da realidade das escolas da sua regional.</t>
  </si>
  <si>
    <t>Não, nenhuma escola posta seu plano dentro do prazo.</t>
  </si>
  <si>
    <t>Sim, algumas escolas postam seus planos de ação dentro do prazo.</t>
  </si>
  <si>
    <t>Sim, a maioria das escolas postam seus planos de ação dentro do prazo.</t>
  </si>
  <si>
    <t>Sim, todas as escolas postam seus planos de ação dentro do prazo.</t>
  </si>
  <si>
    <t>A4D1_3</t>
  </si>
  <si>
    <t>E3D1_10</t>
  </si>
  <si>
    <t>As equipes escolares inserem informações sobre execução das tarefas e ações no Sistema de Gestão para o Avanço Contínuo da Educação (Sigae) dentro do prazo estipulado no cronograma pactuado pela rede.</t>
  </si>
  <si>
    <t>V71</t>
  </si>
  <si>
    <t>Oppen 09.10: Enunciado está idêntico. Contudo, as alternativas de resposta são outras.</t>
  </si>
  <si>
    <t>As equipes escolares da sua regional inserem informações sobre execução das tarefas e ações no Sistema de Gestão para o Avanço Contínuo da Educação (Sigae) dentro do prazo estabelecido pela Rede?</t>
  </si>
  <si>
    <t xml:space="preserve">Não, nenhuma escola insere as informações no Sigae. </t>
  </si>
  <si>
    <t>A4D1_4</t>
  </si>
  <si>
    <t>Sim, algumas escolas inserem as informações no Sigae dentro do prazo.</t>
  </si>
  <si>
    <t>E3D1_9</t>
  </si>
  <si>
    <t>As equipes escolares inserem informações sobre frequências, notas e aulas dadas no sistema da própria Secretaria dentro do prazo estipulado no cronograma pactuado pela rede.</t>
  </si>
  <si>
    <t>Sim, a maioria das escolas insere as informações no Sigae dentro do prazo.</t>
  </si>
  <si>
    <t>A4D1_7</t>
  </si>
  <si>
    <t>Sim, todas as escolas inserem as informações no Sigae dentro do prazo.</t>
  </si>
  <si>
    <t>V72</t>
  </si>
  <si>
    <t>Oppen 25.10: pedido de inserção do IU na revisão de 24.10.</t>
  </si>
  <si>
    <t>As escolas da sua regional realizam as reuniões da etapa de avaliação (N1)?</t>
  </si>
  <si>
    <t>Não, nenhuma escola realiza.</t>
  </si>
  <si>
    <t>Sim, algumas escolas realizam.</t>
  </si>
  <si>
    <t>Sim, a maioria das escolas realiza.</t>
  </si>
  <si>
    <t>Sim, todas as escolas realizam.</t>
  </si>
  <si>
    <t>V73</t>
  </si>
  <si>
    <t>As equipes das escolas da sua regional postam as análises feitas durante a SMAR (etapa de avaliação) no SIGAE?</t>
  </si>
  <si>
    <t>Não, nenhuma escola posta.</t>
  </si>
  <si>
    <t>Sim, algumas escolas postam.</t>
  </si>
  <si>
    <t>Sim, a maioria das escolas posta.</t>
  </si>
  <si>
    <t>Sim, todas as escolas postam.</t>
  </si>
  <si>
    <t>V74</t>
  </si>
  <si>
    <t> Oppen 09.10: Item idêntico ao do Técnico da SEE</t>
  </si>
  <si>
    <t>As escolas da sua regional inserem as informações sobre frequência e notas dos estudantes e aulas dadas no sistema da Secretaria com regularidade?</t>
  </si>
  <si>
    <r>
      <t xml:space="preserve">Não, nenhuma escola insere as informações no sistema da SEE </t>
    </r>
    <r>
      <rPr>
        <b/>
        <sz val="12"/>
        <color theme="9" tint="-0.499984740745262"/>
        <rFont val="Public Sans"/>
      </rPr>
      <t xml:space="preserve">com regularidade. </t>
    </r>
  </si>
  <si>
    <r>
      <t xml:space="preserve">Sim, algumas escolas inserem as informações no sistema da SEE </t>
    </r>
    <r>
      <rPr>
        <b/>
        <sz val="12"/>
        <color theme="9" tint="-0.499984740745262"/>
        <rFont val="Public Sans"/>
      </rPr>
      <t xml:space="preserve">com regularidade. </t>
    </r>
  </si>
  <si>
    <r>
      <t xml:space="preserve">Sim, a maioria das escolas insere as informações no sistema da SEE </t>
    </r>
    <r>
      <rPr>
        <b/>
        <sz val="12"/>
        <color theme="9" tint="-0.499984740745262"/>
        <rFont val="Public Sans"/>
      </rPr>
      <t xml:space="preserve">com regularidade.  </t>
    </r>
  </si>
  <si>
    <r>
      <t xml:space="preserve">Sim, todas as escolas inserem as informações no sistema da SEE </t>
    </r>
    <r>
      <rPr>
        <b/>
        <sz val="12"/>
        <color theme="9" tint="-0.499984740745262"/>
        <rFont val="Public Sans"/>
      </rPr>
      <t xml:space="preserve">com regularidade. </t>
    </r>
  </si>
  <si>
    <t>V75</t>
  </si>
  <si>
    <t>Na etapa de correção de rotas, as escolas da sua regional inserem o plano de ação revisado no Sistema de Gestão para o Avanço Contínuo da Educação (Sigae) dentro do prazo?</t>
  </si>
  <si>
    <t>Não, nenhuma escola insere.</t>
  </si>
  <si>
    <t>Sim, algumas escolas inserem.</t>
  </si>
  <si>
    <t>Sim, a maioria das escolas insere.</t>
  </si>
  <si>
    <t>Sim, todas as escolas inserem.</t>
  </si>
  <si>
    <t>E5D2_6</t>
  </si>
  <si>
    <t>Profissionais das Escolas participam regularmente dos encontros para troca de práticas e aprendizados.</t>
  </si>
  <si>
    <t>V76</t>
  </si>
  <si>
    <t>Oppen 09.10: item idêntico utilizado no Questionário da Dupla Gestora e ACG</t>
  </si>
  <si>
    <t>Nos últimos 12 meses, a equipe gestora do CdG (ou outro profissional) das escolas da sua Regional participou de encontros para compartilhamento de práticas organizados pelos profissionais da regional?</t>
  </si>
  <si>
    <t xml:space="preserve">Sim, algumas escolas participaram. </t>
  </si>
  <si>
    <t xml:space="preserve">Sim, a maioria das escolas participou. </t>
  </si>
  <si>
    <t xml:space="preserve">Sim, todas as escolas participaram. </t>
  </si>
  <si>
    <t>A4D2_9</t>
  </si>
  <si>
    <t>As equipes escolares reconhecem a importância da disponibilidade de dados para a realização de diagnósticos sobre seus estudantes, proposição de ações para os problemas identificados e monitoramento e avaliação dos seus planos.</t>
  </si>
  <si>
    <t>V77</t>
  </si>
  <si>
    <t>Os gestores escolares reconhecem a importância dos dados para realizar diagnósticos sobre seus estudantes, planejar ações e monitorar suas ações e resultados.</t>
  </si>
  <si>
    <t>bloco_6</t>
  </si>
  <si>
    <t>BLOCO 6: CIRCUITO DE GESTÃO DA SECRETARIA E AÇÕES DISPARADORAS
Estamos quase chegando ao final do questionário. As perguntas a seguir são sobre as ações realizadas pela Secretaria na implementação do Circuito de Gestão.</t>
  </si>
  <si>
    <t>E1D1_1</t>
  </si>
  <si>
    <t>A  Secretaria Estadual de Educação revisa, anualmente, as metas para escolas e regionais a partir dos resultados das avaliações externas.</t>
  </si>
  <si>
    <t>V78</t>
  </si>
  <si>
    <t>A equipe técnica da Secretaria revisa, anualmente, as metas da Secretaria, das escolas e das regionais, considerando os resultados das avaliações externas.</t>
  </si>
  <si>
    <t>Por favor, indique o quanto você concorda com a afirmação.  Considere como avaliações externas as de âmbito nacional, como o SAEB, e as estaduais como SAEPI, SAEGO, SPAECE e PAEBES.</t>
  </si>
  <si>
    <t>E2D1_4</t>
  </si>
  <si>
    <t>A Secretaria Estadual de Educação insere seu plano de ação no Sistema de Gestão para o Avanço Contínuo da Educação (Sigae) no prazo estipulado pelo cronograma pactuado com a rede.</t>
  </si>
  <si>
    <t>V79</t>
  </si>
  <si>
    <t xml:space="preserve">A equipe da Secretaria elabora o plano de ação da Secretaria? </t>
  </si>
  <si>
    <t>E1D1_2</t>
  </si>
  <si>
    <t>A  Secretaria Estadual de Educação  define  escolas prioritárias a partir das metas estabelecidas.</t>
  </si>
  <si>
    <t>V80</t>
  </si>
  <si>
    <t xml:space="preserve">Oppen 06.10: item idêntico utilizado no Questionário do Técnico da SEE
</t>
  </si>
  <si>
    <t>A  Secretaria define escolas prioritárias a partir das METAS EDUCACIONAIS ESTABELECIDAS?</t>
  </si>
  <si>
    <t>Lembrando que a meta é calculada a partir do IDEB*, uma combinação entre os resultados de Lingua Portuguesa e Matemática dos estudantes nas avaliações externas estaduais e do fluxo dos estudantes (taxa de aprovação)</t>
  </si>
  <si>
    <t>E2D1_1</t>
  </si>
  <si>
    <t>A Secretaria Estadual de Educação define os objetivos estratégicos para nortear o planejamento anual.</t>
  </si>
  <si>
    <t>V81</t>
  </si>
  <si>
    <t>A equipe gestora da Secretaria define os OBJETIVOS ESTRATÉGICOS da Rede de Ensino?</t>
  </si>
  <si>
    <t>V82</t>
  </si>
  <si>
    <t xml:space="preserve">A equipe gestora da Secretaria compartilha com a Regional os programas, projetos e ações prioritários? </t>
  </si>
  <si>
    <t>E2D3_19</t>
  </si>
  <si>
    <t>A Secretaria Estadual de Educação elabora um plano de priorização que identifica regionais, ACGs, escolas, e estudantes que precisam de maior apoio, alinhado aos objetivos estabelecidos pela rede.</t>
  </si>
  <si>
    <t>V83</t>
  </si>
  <si>
    <t xml:space="preserve">A Secretaria possui uma estratégia de atendimento diferenciado para regionais que precisam de maior apoio.
</t>
  </si>
  <si>
    <t>E6D4_23</t>
  </si>
  <si>
    <t xml:space="preserve">A Secretaria Estadual de Educação a partir da correção de rotas, define novas prioridades, programas ou projetos a serem adotados pela rede. </t>
  </si>
  <si>
    <t>V84</t>
  </si>
  <si>
    <t>Oppen 09.10: Item idêntico ao do ACG.</t>
  </si>
  <si>
    <t xml:space="preserve">Com base na correção de rotas, são definidas novas prioridades, ações, programas ou projetos a serem adotados pela Secretaria. </t>
  </si>
  <si>
    <t>intro_formacao</t>
  </si>
  <si>
    <t xml:space="preserve"> Já com relação à estratégia de formação para o CdG:</t>
  </si>
  <si>
    <t>A2D2_3</t>
  </si>
  <si>
    <t>As Regionais mapeiam as demandas por formações do CdG  e oferecem as formações ou encaminham para a Secretaria Estadual de Educação.</t>
  </si>
  <si>
    <t>V85</t>
  </si>
  <si>
    <t>Os profissionais da sua regional mapeiam as necessidades de formação nos conteúdos acerca do Circuito de Gestão e as direcionam para a Secretaria?</t>
  </si>
  <si>
    <t>Selecione qual das alternativas mais se aproxima da realidade da sua Secretaria.</t>
  </si>
  <si>
    <t>Sim, raramente.</t>
  </si>
  <si>
    <t>Sim, algumas vezes.</t>
  </si>
  <si>
    <t>Sim, regularmente.</t>
  </si>
  <si>
    <t>A2D3_9</t>
  </si>
  <si>
    <t>A equipe responsável pelo Jovem de Futuro na Secretaria planeja novas formações para aprimoramento do CdG.</t>
  </si>
  <si>
    <t>V86</t>
  </si>
  <si>
    <t>Há uma equipe na Secretaria responsável por planejar ações formativas sobre o Circuito de Gestão para os profissionais das escolas e regionais?</t>
  </si>
  <si>
    <t>A2D1_1</t>
  </si>
  <si>
    <t>Há uma estratégia para preparar (ou formar) os novos profissionais para implementarem o CdG</t>
  </si>
  <si>
    <t>A2D1_2</t>
  </si>
  <si>
    <t>Existe acompanhamento e monitoramento da formação dos profissionais que fazem parte do CdG</t>
  </si>
  <si>
    <t>V87</t>
  </si>
  <si>
    <t>É realizado algum tipo de acompanhamento ou monitoramento da formação dos profissionais envolvidos no Circuito de Gestão?</t>
  </si>
  <si>
    <t>A2D3_6</t>
  </si>
  <si>
    <t>Considerando a rotatividade dos profissionais, a Secretaria e/ ou Regionais oferecem ações formativas para que novos técnicos das regionais e novos ACGs se apropriem das ações do CdG</t>
  </si>
  <si>
    <t>V88</t>
  </si>
  <si>
    <t>A SECRETARIA OFERECE FORMAÇÕES para que os NOVOS PROFISSIONAIS das regionais se apropriem das ações do CdG?</t>
  </si>
  <si>
    <t xml:space="preserve">LEMBRE-SE: O ACG possui cargos distintos, dependendo do estado. No Ceará, ele recebe o nome de Superintendente. No Espírito Santo, de Supervisor; em Goiás, de Tutor; e, no Piauí, de Técnico de Ensino ou ACG.
</t>
  </si>
  <si>
    <t>Não oferece.</t>
  </si>
  <si>
    <t>Oferece raramente.</t>
  </si>
  <si>
    <t>Oferece frequentemente.</t>
  </si>
  <si>
    <t>Oferece muito frequentemente</t>
  </si>
  <si>
    <t>A2D3_7</t>
  </si>
  <si>
    <t>Considerando a rotatividade dos profissionais, Secretaria  e/ou regionais possuem profissionais aptos a formarem (ou preparem) os novos profissionais das escolas para implementarem o CdG</t>
  </si>
  <si>
    <t>V89</t>
  </si>
  <si>
    <t>A SECRETARIA  possui PROFISSIONAIS APTOS para formar os novos profissionais das escolas e das regionais para implementarem o CdG?</t>
  </si>
  <si>
    <t>Não</t>
  </si>
  <si>
    <t>Sim, mas apenas para formar os profissionais das regionais</t>
  </si>
  <si>
    <t>Sim, mas apenas para formar os profissionais das escolas</t>
  </si>
  <si>
    <t>Sim,  para formar os profissionais das escolas e das regionais</t>
  </si>
  <si>
    <t>V90</t>
  </si>
  <si>
    <t>A sua REGIONAL possui PROFISSIONAIS APTOS para formar os novos profissionais das escolas para implementarem o CdG?</t>
  </si>
  <si>
    <t>V91</t>
  </si>
  <si>
    <t>Pensando nas ações de mobilização e comunicação sobre o Circuito de Gestão:</t>
  </si>
  <si>
    <t>A3D3_7</t>
  </si>
  <si>
    <t>A Secretaria Estadual de Educação desenvolve ações contínuas para mobilização e engajamento dos atores na implementação do CdG nas três instâncias</t>
  </si>
  <si>
    <t>V92</t>
  </si>
  <si>
    <t>A sua REGIONAL desenvolve ações de mobilização e engajamento dos PROFISSIONAIS DA ESCOLA na implementação do CdG?</t>
  </si>
  <si>
    <t>A3D1_1</t>
  </si>
  <si>
    <t>São desenvolvidas ações de mobilização e engajamento dos profissionais das três instâncias (seminários, webinários, rodas de conversa, formações) para implementação do CdG.</t>
  </si>
  <si>
    <t>V93</t>
  </si>
  <si>
    <t>Quais ações de mobilização e engajamento são realizadas pela sua REGIONAL para o engajamento dos profissionais das escolas e regionais na implementação do Circuito de Gestão?</t>
  </si>
  <si>
    <t>Seminários.</t>
  </si>
  <si>
    <t>se V93 = 1</t>
  </si>
  <si>
    <t>Webinários.</t>
  </si>
  <si>
    <t>Rodas de conversa.</t>
  </si>
  <si>
    <t>Formações.</t>
  </si>
  <si>
    <t>Redes sociais.</t>
  </si>
  <si>
    <t>Outras.</t>
  </si>
  <si>
    <t>Não sei. / Não são realizadas ações desse tipo.</t>
  </si>
  <si>
    <t>V94</t>
  </si>
  <si>
    <t>A SECRETARIA desenvolve ações de mobilização e engajamento dos PROFISSIONAIS DAS REGIONAIS e das escolas na implementação do CdG ?</t>
  </si>
  <si>
    <t>V95</t>
  </si>
  <si>
    <t>Quais ações de mobilização e engajamento são realizadas pela SECRETARIA para o engajamento dos profissionais das escolas e regionais na implementação do Circuito de Gestão?</t>
  </si>
  <si>
    <t>SE V94 = 1</t>
  </si>
  <si>
    <t>A3D1_2</t>
  </si>
  <si>
    <t>São desenvolvidas ações de comunicação (redes sociais, e-mails, encontros...) para mobilização dos atores da rede a respeito da importância da gestão na educação para a promoção de melhores resultados e redução das desigualdades.</t>
  </si>
  <si>
    <t>V96</t>
  </si>
  <si>
    <t>Quais meios de comunicação a SECRETARIA utiliza para informar os profissionais das Regionais e das escolas sobre o Circuito de Gestão?</t>
  </si>
  <si>
    <t>WhatsApp.</t>
  </si>
  <si>
    <t>Se selecionar 77 não pode selecionar as outras</t>
  </si>
  <si>
    <t>E-mails.</t>
  </si>
  <si>
    <t>Memorandos.</t>
  </si>
  <si>
    <t>Mensagens e emails pelo SIGAE.</t>
  </si>
  <si>
    <t>V97</t>
  </si>
  <si>
    <t>Quais meios de comunicação sua REGIONAL utiliza para informar os profissionais das escolas sobre o Circuito de Gestão?</t>
  </si>
  <si>
    <t>A3D2_3</t>
  </si>
  <si>
    <t>Há um plano de engajamento dos atores das três instâncias nas diferentes etapas do circuito.</t>
  </si>
  <si>
    <t>V98</t>
  </si>
  <si>
    <t>Existe, na Secretaria, um plano de comunicação e mobilização dos profissionais das regionais e das escolas para implementar as atividades previstas pelo CdG.</t>
  </si>
  <si>
    <t>A3D4_8</t>
  </si>
  <si>
    <t xml:space="preserve">A Secretaria Estadual de Educação orienta e apoia as regionais nas ações de mobilização e engajamento das escolas. </t>
  </si>
  <si>
    <t>V99</t>
  </si>
  <si>
    <t xml:space="preserve">A Secretaria orienta e apoia as regionais nas ações de comunicação e mobilização das escolas. </t>
  </si>
  <si>
    <t>bloco_7</t>
  </si>
  <si>
    <t>Oppen 09.10: Idêntico ao ACG</t>
  </si>
  <si>
    <t>BLOCO 7: CUSTOMIZAÇÕES DOS PROTOCOLOS.
Chegamos ao último bloco. As perguntas a seguir são sobre possíveis adaptações em protocolos do Circuito da Gestão (CdG) realizadas pela rede.</t>
  </si>
  <si>
    <t>E2D5_29</t>
  </si>
  <si>
    <t>A Secretaria Estadual de Educação fez customizações em ao menos um processo da etapa de planejamento (adaptações nos protocolos, indicadores específicos, formulários para registro de informações, roteiros de análise e de orientação e sistematização das atividades, instruções para o uso do sistema de informações).</t>
  </si>
  <si>
    <t>V100</t>
  </si>
  <si>
    <t>Oppen 25.10: Idêntico ao Técnico da SEE</t>
  </si>
  <si>
    <t>A Secretaria ou o Instituto Unibanco fez algum ajuste em protocolos das etapas do CdG?</t>
  </si>
  <si>
    <t>E3D5_36</t>
  </si>
  <si>
    <t>Houve adaptações nos protocolos de execução, considerando o contexto e a realidade da rede.</t>
  </si>
  <si>
    <t>V101</t>
  </si>
  <si>
    <t>Oppen 09.10: Item idêntico ao do Técnico da SEE E ACG</t>
  </si>
  <si>
    <t>Em quais das etapas?</t>
  </si>
  <si>
    <t>Pactuação de Metas.</t>
  </si>
  <si>
    <t>Planejamento.</t>
  </si>
  <si>
    <t>Execução e Monitoramento.</t>
  </si>
  <si>
    <t>Avaliação de resultados (SMAR).</t>
  </si>
  <si>
    <t xml:space="preserve">Compartilhamento de práticas. </t>
  </si>
  <si>
    <t>Correção de rotas.</t>
  </si>
  <si>
    <t>E4D5_27</t>
  </si>
  <si>
    <t>Houve adaptações nos protocolos de SMAR, considerando o conteúdo e a realidade da rede.</t>
  </si>
  <si>
    <t>V102</t>
  </si>
  <si>
    <t>Oppen 09.10: Item idêntico ao do Técnico da SEE</t>
  </si>
  <si>
    <t>Quais adaptações foram feitas nos protocolos?</t>
  </si>
  <si>
    <t>Ajustes de termos (denominações de cargos, funções, instâncias).</t>
  </si>
  <si>
    <t>Ajustes em orientações.</t>
  </si>
  <si>
    <t>Adaptações nos formulários.</t>
  </si>
  <si>
    <t>Alteração de conteúdo.</t>
  </si>
  <si>
    <t>Alteração dos processos.</t>
  </si>
  <si>
    <t>encerramento</t>
  </si>
  <si>
    <t>Agradecemos a sua participação! Não esqueça de clicar em "Enviar" para que suas respostas sejam contabilizadas!</t>
  </si>
  <si>
    <t>1 OU 2</t>
  </si>
  <si>
    <t>SE consent = 1 OU 2</t>
  </si>
  <si>
    <t>Lista de opções mais frequentes</t>
  </si>
  <si>
    <t>Lista Geral</t>
  </si>
  <si>
    <t>Escolha Única, Vertical</t>
  </si>
  <si>
    <t>Múltipla escolha</t>
  </si>
  <si>
    <t>integer</t>
  </si>
  <si>
    <t>Numérica</t>
  </si>
  <si>
    <t>decimal</t>
  </si>
  <si>
    <t>String</t>
  </si>
  <si>
    <t>Texto e Número</t>
  </si>
  <si>
    <t>Data</t>
  </si>
  <si>
    <t>date</t>
  </si>
  <si>
    <t>geopoint</t>
  </si>
  <si>
    <t>E-mail</t>
  </si>
  <si>
    <t>geoshape</t>
  </si>
  <si>
    <t>-</t>
  </si>
  <si>
    <t>geotrace</t>
  </si>
  <si>
    <t>barcode</t>
  </si>
  <si>
    <t>datetime</t>
  </si>
  <si>
    <t>image</t>
  </si>
  <si>
    <t>audio</t>
  </si>
  <si>
    <t>video</t>
  </si>
  <si>
    <t>file</t>
  </si>
  <si>
    <t>phonenumber</t>
  </si>
  <si>
    <t>comments</t>
  </si>
  <si>
    <t>calculate</t>
  </si>
  <si>
    <t>calculate_here</t>
  </si>
  <si>
    <t>text audit</t>
  </si>
  <si>
    <t>audio audit</t>
  </si>
  <si>
    <t>sensor_stream movement</t>
  </si>
  <si>
    <t>sensor_statistic pct_movement_between</t>
  </si>
  <si>
    <t>Lista de restrições</t>
  </si>
  <si>
    <t>Opção de restrição</t>
  </si>
  <si>
    <t>Texto</t>
  </si>
  <si>
    <t>Número</t>
  </si>
  <si>
    <t>número</t>
  </si>
  <si>
    <t>Texto+Número</t>
  </si>
  <si>
    <t>texto+número</t>
  </si>
  <si>
    <t>data</t>
  </si>
  <si>
    <t>Email</t>
  </si>
  <si>
    <t>email</t>
  </si>
  <si>
    <t>Vazio</t>
  </si>
  <si>
    <t>Novas colunas</t>
  </si>
  <si>
    <t>Instruções</t>
  </si>
  <si>
    <t>Preencher sempre com números inteiros. De maneira crescente (1 até 20, por exemplo).</t>
  </si>
  <si>
    <t>Questão dependente</t>
  </si>
  <si>
    <t>Usar quando houver somente uma questão no fluxo que depende de outra. Exemplo: Se V004 depende da V003, quando a opção for 1. Escrever neste campo somente V003 e colocar 1 na coluna "Opção".</t>
  </si>
  <si>
    <t>Usar quando houver somente uma questão no fluxo que depende de outra. Exemplo: Se V004 depende da V003, quando a opção for 1. Escrever neste campo somente o valor 1.</t>
  </si>
  <si>
    <t>Pre-condicao</t>
  </si>
  <si>
    <t>Usar quando houver mais de uma questão ou mais de uma opção de questão dependente. Exemplo, Se V004 depende de V003 quando as opções são 1, 2 ou 3. Ou se V004, depende de V003 = 1 e/ou V002 = 2</t>
  </si>
  <si>
    <t>Escolher qual o tipo de questão será usada. As opções disponíveis se encontram na aba Opções - Tipo de Resposta</t>
  </si>
  <si>
    <t>Restrição</t>
  </si>
  <si>
    <t>Usar quando a questão for do tipo "text", na qual é possível escolher se o campo aceita só texto e número, ou somente número, etc. Caso o campo não tenha restrição de texto, escolher a opção Vazio.</t>
  </si>
  <si>
    <t xml:space="preserve">Descritor </t>
  </si>
  <si>
    <t>Checagem</t>
  </si>
  <si>
    <t>A  Secretaria Estadual de Educação revisa, anualmente, as metas para escolas e regionais a partir dos resultados das avaliações externas</t>
  </si>
  <si>
    <t>Teve um item excluído após revisão do IU em 20.10</t>
  </si>
  <si>
    <t>E2D3_17</t>
  </si>
  <si>
    <t>A  Secretaria Estadual de Educação possui equipes responsáveis por zelar pelo cronograma, acompanhar o processo de planejamento e fornecer orientações para os profissionais das regionais;</t>
  </si>
  <si>
    <t>Excluído após revisão do IU em 17.10.</t>
  </si>
  <si>
    <t>E2D3_18</t>
  </si>
  <si>
    <t xml:space="preserve">As Regionais possuem equipes responsáveis por zelar pelo cronograma, acompanhar o processo de planejamento e fornecer orientações para os profissionais das escolas. </t>
  </si>
  <si>
    <t>E3D1_2</t>
  </si>
  <si>
    <t xml:space="preserve">As equipes escolares executam as tarefas previstas nos planos de ação dentro dos prazos. </t>
  </si>
  <si>
    <t>E3D1_7</t>
  </si>
  <si>
    <t>A equipe técnica da Secretaria Estadual de Educação insere informações sobre a execução das ações do seu plano de ação no Sistema de Gestão para o Avanço Contínuo da Educação (Sigae) dentro do prazo estipulado no cronograma pactuado pela rede.</t>
  </si>
  <si>
    <t>Excluído após revisão do IU em 20.10</t>
  </si>
  <si>
    <t>As equipes das Regionais inserem informações sobre a execução das tarefas e ações no  Sistema de Gestão para o Avanço Contínuo da Educação (Sigae) dentro do prazo estipulado no cronograma pactuado pela rede.</t>
  </si>
  <si>
    <t>E3D2_14</t>
  </si>
  <si>
    <t xml:space="preserve">A equipe gestora da Secretaria Estadual de Educação acompanha a execução do seu plano de ação.
</t>
  </si>
  <si>
    <t>E3D2_17</t>
  </si>
  <si>
    <t>A equipe gestora da Regional apoia os profissionais responsáveis pelas tarefas e ações de seu palno de ação.</t>
  </si>
  <si>
    <t>Excluído após revisão do IU em 24.10.</t>
  </si>
  <si>
    <t>E3D3_23</t>
  </si>
  <si>
    <t>Há ACGs suficientes para realizar adequadamente o acompanhamento das atividades nas escolas.</t>
  </si>
  <si>
    <t xml:space="preserve"> A Secretaria disponibiliza às regionais  recursos necessários (carro, computador, rede) para que os ACGs realizem suas atividades de acompanhamento das escolas.</t>
  </si>
  <si>
    <t xml:space="preserve">A Secretaria conta com uma equipe técnica para acompanhamento e execução das ações prevista no CdG. </t>
  </si>
  <si>
    <t xml:space="preserve">O ACG acompanha e apoia a execução do plano da escola.
</t>
  </si>
  <si>
    <t xml:space="preserve">O ACG encaminha as demandas das escolas a Regional quando necessário.
</t>
  </si>
  <si>
    <t xml:space="preserve">A Secretaria orienta as regionais  para a inserção dos dados sobre as tarefas e resultados dos seus respectivos planos de ação. </t>
  </si>
  <si>
    <t>E3D5_32</t>
  </si>
  <si>
    <t>A Secretaria fez customizações em ao menos um processo da etapa de execução (indicadores específicos, formulários para registro de informações, roteiros de análise e de orientação e sistematização das atividades, instruções para o uso do sistema de informações)</t>
  </si>
  <si>
    <t>O grupo gestor da Regional avalia se a regional e seu conjunto de escolas estão atingindo os resultados propostos, com base nos indicadores de execução (do plano de ação) e estruturantes e posta sua analise no SIGAE no prazo previsto no calendário.</t>
  </si>
  <si>
    <t>E4D3_4</t>
  </si>
  <si>
    <t>A equipe técnica da Secretaria Estadual de Educação realiza a extração dos dados do sistema da Secretaria e os inserem no Sistema de Gestão para o Avanço Contínuo da Educação (Sigae).</t>
  </si>
  <si>
    <t>Não temos esse descritor no técnico da SEE.</t>
  </si>
  <si>
    <t xml:space="preserve">Os profissionais da Secretaria Estadual de Educação analisam os indicadores de execução do plano de ação e os indicadores estruturantes das Regionais. </t>
  </si>
  <si>
    <t>E4D4_22</t>
  </si>
  <si>
    <t>Os profissionais da Secretaria Estadual de Educação dialogam com a equipe gestora da regional sobre os resultados dos indicadores de execução do plano de ação e estruturantes das Regionais.</t>
  </si>
  <si>
    <t>As Regionais (ou a Secretaria) organizam espaços de trocas de práticas e aprendizados entre as escolas.</t>
  </si>
  <si>
    <t>A Secretaria Estadual de Educação desenvolve estratégias de mobilização, elaboram materiais de apoio, garantem espaços para a interação e troca entre as equipes escolares e das regionais.</t>
  </si>
  <si>
    <t>As Regionais (ou Secretaria) desenvolvem estratégias de mobilização, elaboram materiais de apoio, garantem espaços para a interação e troca entre as equipes escolares.</t>
  </si>
  <si>
    <t>E5D3_17</t>
  </si>
  <si>
    <t>Há ACGs suficientes para apoiar o mapeamento de práticas nas escolas.</t>
  </si>
  <si>
    <t>E6D2_13</t>
  </si>
  <si>
    <t>Profissionais da Secretaria Estadual de Educação reconhecem a importancia da etapa de correção de rotas para a ampliar a eficiencia, eficácia e efetividade do plano de ação.</t>
  </si>
  <si>
    <t>Há AGCs suficientes para acompanhar as escolas na etapa de correção de rotas.</t>
  </si>
  <si>
    <t>E6D3_19</t>
  </si>
  <si>
    <t>As Regionais produzem e documentam evidências (dados, relatórios e materiais de apoio) ao longo do circuito de gestão, a fim de utilizá-las para a correção de rotas.</t>
  </si>
  <si>
    <t>A1D1_4</t>
  </si>
  <si>
    <t>O Comitê de Governança compartilha e comunica as deliberações das reuniões com outros profissionais da Secretaria e com as Regionais.</t>
  </si>
  <si>
    <t>A2D2_4</t>
  </si>
  <si>
    <t>A secretaria dispõem de um plano de desenvolvimento dos profissionais que estão no CdG.</t>
  </si>
  <si>
    <t>A2D4_10</t>
  </si>
  <si>
    <t xml:space="preserve">A Secretaria Estadual de Educação apoia as regionais no mapeamento e encaminhamento das demandas por formações das escolas sob sua jurisdição. </t>
  </si>
  <si>
    <t>A2D5_11</t>
  </si>
  <si>
    <t>Existem materiais e instrumentos de monitoramento e avaliação capazes de produzir evidências que orientem a ADEQUAÇÃO dos cursos às necessidades dos profissionais da rede.</t>
  </si>
  <si>
    <t>Teve um item excluído após revisão do IU em 24.10.2023.</t>
  </si>
  <si>
    <t>A3D3_6</t>
  </si>
  <si>
    <t>A Secretaria Estadual de Educação possui um plano de trabalho para mobilização e engajamento dos diferentes profissionais em torno da gestão na educação para a promoção de melhores resultados e redução das desigualdades.</t>
  </si>
  <si>
    <t>A3D5_10</t>
  </si>
  <si>
    <t>As ações de mobilização e engajamento dos profissionais em torno do CdG e de temas como liderança, equidade e gestão educacional foram customizados.</t>
  </si>
  <si>
    <t>A4D1_1</t>
  </si>
  <si>
    <t>A4D1_8</t>
  </si>
  <si>
    <t>A4D3_13</t>
  </si>
  <si>
    <t>Há ao menos um técnico na Secretaria Estadual de Educação responsável pelo tratamento, adequação de formato, análise e homologação dos dados e informações relacionadas ao CdG (frequência, aulas dadas, notas, resultados e tarefas do plano de ação) de forma contínua.</t>
  </si>
  <si>
    <t>Há ao menos um técnico na Regional responsável pela análise e sistematização dos dados e informações relacionadas ao CdG (frequência, aulas dadas, notas, resultados e tarefas do plano de ação) de forma contínua.</t>
  </si>
  <si>
    <t>A4D3_15</t>
  </si>
  <si>
    <t>Os técnicos responsáveis pelo tratamento e análise dos dados possuem conhecimento e competências para realizar esses processos com qualidade e autonomia.</t>
  </si>
  <si>
    <t>Ausente</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</si>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</sst>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0"/>
      <color rgb="FF000000"/>
      <name val="Calibri"/>
      <family val="2"/>
      <scheme val="minor"/>
    </font>
    <font>
      <sz val="10"/>
      <color rgb="FF000000"/>
      <name val="Calibri"/>
      <family val="2"/>
      <scheme val="minor"/>
    </font>
    <font>
      <b/>
      <sz val="10"/>
      <color theme="0"/>
      <name val="Arial"/>
      <family val="2"/>
    </font>
    <font>
      <sz val="11"/>
      <color theme="1"/>
      <name val="Public Sans"/>
    </font>
    <font>
      <b/>
      <sz val="11"/>
      <color theme="0"/>
      <name val="Public Sans"/>
    </font>
    <font>
      <sz val="11"/>
      <color rgb="FFFF0000"/>
      <name val="Public Sans"/>
    </font>
    <font>
      <sz val="11"/>
      <name val="Public Sans"/>
    </font>
    <font>
      <sz val="11"/>
      <color rgb="FF000000"/>
      <name val="Public Sans"/>
    </font>
    <font>
      <b/>
      <sz val="11"/>
      <color rgb="FF5B9BD5"/>
      <name val="Public Sans"/>
    </font>
    <font>
      <sz val="11"/>
      <color rgb="FF5B9BD5"/>
      <name val="Public Sans"/>
    </font>
    <font>
      <b/>
      <sz val="10"/>
      <color rgb="FF000000"/>
      <name val="Calibri"/>
      <family val="2"/>
      <scheme val="minor"/>
    </font>
    <font>
      <sz val="12"/>
      <name val="Public Sans"/>
    </font>
    <font>
      <sz val="12"/>
      <color theme="1"/>
      <name val="Public Sans"/>
    </font>
    <font>
      <b/>
      <sz val="12"/>
      <name val="Public Sans"/>
    </font>
    <font>
      <sz val="11"/>
      <name val="Calibri"/>
      <family val="2"/>
      <scheme val="minor"/>
    </font>
    <font>
      <sz val="12"/>
      <color rgb="FFFF0000"/>
      <name val="Public Sans"/>
    </font>
    <font>
      <sz val="12"/>
      <color rgb="FF000000"/>
      <name val="Public Sans"/>
    </font>
    <font>
      <sz val="12"/>
      <color rgb="FF5B9BD5"/>
      <name val="Public Sans"/>
    </font>
    <font>
      <b/>
      <sz val="12"/>
      <color rgb="FF5B9BD5"/>
      <name val="Public Sans"/>
    </font>
    <font>
      <sz val="12"/>
      <color rgb="FF002060"/>
      <name val="Public Sans"/>
    </font>
    <font>
      <sz val="11"/>
      <color rgb="FF000000"/>
      <name val="Calibri"/>
      <family val="2"/>
    </font>
    <font>
      <b/>
      <sz val="12"/>
      <color theme="0"/>
      <name val="Public Sans"/>
    </font>
    <font>
      <b/>
      <sz val="11"/>
      <name val="Public Sans"/>
    </font>
    <font>
      <sz val="11"/>
      <name val="Calibri"/>
      <family val="2"/>
    </font>
    <font>
      <b/>
      <sz val="11"/>
      <color rgb="FF000000"/>
      <name val="Public Sans"/>
    </font>
    <font>
      <sz val="11"/>
      <color rgb="FF000000"/>
      <name val="Calibri"/>
      <family val="2"/>
      <scheme val="minor"/>
    </font>
    <font>
      <b/>
      <sz val="9"/>
      <color theme="0"/>
      <name val="Arial"/>
      <family val="2"/>
    </font>
    <font>
      <sz val="11"/>
      <color theme="1"/>
      <name val="Arial"/>
      <family val="2"/>
    </font>
    <font>
      <sz val="12"/>
      <name val="Arial"/>
      <family val="2"/>
    </font>
    <font>
      <sz val="11"/>
      <color rgb="FFFF0000"/>
      <name val="Arial"/>
      <family val="2"/>
    </font>
    <font>
      <sz val="12"/>
      <color rgb="FFFF0000"/>
      <name val="Arial"/>
      <family val="2"/>
    </font>
    <font>
      <sz val="11"/>
      <color rgb="FFFF0000"/>
      <name val="Calibri"/>
      <family val="2"/>
      <scheme val="minor"/>
    </font>
    <font>
      <b/>
      <sz val="12"/>
      <color theme="9" tint="-0.499984740745262"/>
      <name val="Public Sans"/>
    </font>
    <font>
      <sz val="11"/>
      <color rgb="FF002060"/>
      <name val="Public Sans"/>
    </font>
    <font>
      <b/>
      <sz val="12"/>
      <color rgb="FF002060"/>
      <name val="Public Sans"/>
    </font>
    <font>
      <b/>
      <sz val="11"/>
      <name val="Calibri"/>
      <family val="2"/>
    </font>
  </fonts>
  <fills count="13">
    <fill>
      <patternFill patternType="none"/>
    </fill>
    <fill>
      <patternFill patternType="gray125"/>
    </fill>
    <fill>
      <patternFill patternType="solid">
        <fgColor rgb="FF002060"/>
        <bgColor rgb="FF0096B1"/>
      </patternFill>
    </fill>
    <fill>
      <patternFill patternType="solid">
        <fgColor rgb="FF7030A0"/>
        <bgColor rgb="FF0096B1"/>
      </patternFill>
    </fill>
    <fill>
      <patternFill patternType="solid">
        <fgColor theme="2" tint="-9.9978637043366805E-2"/>
        <bgColor indexed="64"/>
      </patternFill>
    </fill>
    <fill>
      <patternFill patternType="solid">
        <fgColor rgb="FF002060"/>
        <bgColor indexed="64"/>
      </patternFill>
    </fill>
    <fill>
      <patternFill patternType="solid">
        <fgColor rgb="FF00B050"/>
        <bgColor rgb="FF0096B1"/>
      </patternFill>
    </fill>
    <fill>
      <patternFill patternType="solid">
        <fgColor theme="6"/>
        <bgColor indexed="64"/>
      </patternFill>
    </fill>
    <fill>
      <patternFill patternType="solid">
        <fgColor theme="0"/>
        <bgColor indexed="64"/>
      </patternFill>
    </fill>
    <fill>
      <patternFill patternType="solid">
        <fgColor rgb="FFFFFF00"/>
        <bgColor rgb="FF000000"/>
      </patternFill>
    </fill>
    <fill>
      <patternFill patternType="solid">
        <fgColor theme="7" tint="0.79998168889431442"/>
        <bgColor indexed="64"/>
      </patternFill>
    </fill>
    <fill>
      <patternFill patternType="solid">
        <fgColor rgb="FFFFFFFF"/>
        <bgColor rgb="FF000000"/>
      </patternFill>
    </fill>
    <fill>
      <patternFill patternType="solid">
        <fgColor rgb="FFFFFF00"/>
        <bgColor indexed="64"/>
      </patternFill>
    </fill>
  </fills>
  <borders count="50">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right style="thin">
        <color indexed="64"/>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indexed="64"/>
      </left>
      <right style="thin">
        <color indexed="64"/>
      </right>
      <top style="thin">
        <color rgb="FF000000"/>
      </top>
      <bottom/>
      <diagonal/>
    </border>
    <border>
      <left style="thin">
        <color indexed="64"/>
      </left>
      <right style="thin">
        <color rgb="FF000000"/>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rgb="FF000000"/>
      </right>
      <top style="thin">
        <color indexed="64"/>
      </top>
      <bottom/>
      <diagonal/>
    </border>
    <border>
      <left/>
      <right/>
      <top style="thin">
        <color rgb="FF000000"/>
      </top>
      <bottom/>
      <diagonal/>
    </border>
    <border>
      <left style="thin">
        <color rgb="FF000000"/>
      </left>
      <right/>
      <top/>
      <bottom style="thin">
        <color rgb="FF000000"/>
      </bottom>
      <diagonal/>
    </border>
    <border>
      <left style="thin">
        <color indexed="64"/>
      </left>
      <right style="thin">
        <color rgb="FF000000"/>
      </right>
      <top/>
      <bottom style="thin">
        <color rgb="FF000000"/>
      </bottom>
      <diagonal/>
    </border>
    <border>
      <left style="thin">
        <color rgb="FF000000"/>
      </left>
      <right style="thin">
        <color rgb="FF000000"/>
      </right>
      <top style="thin">
        <color indexed="64"/>
      </top>
      <bottom/>
      <diagonal/>
    </border>
    <border>
      <left/>
      <right style="thin">
        <color indexed="64"/>
      </right>
      <top style="thin">
        <color rgb="FF000000"/>
      </top>
      <bottom/>
      <diagonal/>
    </border>
    <border>
      <left/>
      <right style="thin">
        <color rgb="FF000000"/>
      </right>
      <top style="thin">
        <color indexed="64"/>
      </top>
      <bottom/>
      <diagonal/>
    </border>
    <border>
      <left/>
      <right style="thin">
        <color rgb="FF000000"/>
      </right>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thin">
        <color rgb="FF000000"/>
      </left>
      <right style="thin">
        <color indexed="64"/>
      </right>
      <top/>
      <bottom style="thin">
        <color rgb="FF000000"/>
      </bottom>
      <diagonal/>
    </border>
    <border>
      <left style="thin">
        <color rgb="FF000000"/>
      </left>
      <right/>
      <top style="thin">
        <color rgb="FF000000"/>
      </top>
      <bottom/>
      <diagonal/>
    </border>
    <border>
      <left style="thin">
        <color rgb="FF000000"/>
      </left>
      <right/>
      <top/>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rgb="FF000000"/>
      </right>
      <top/>
      <bottom style="thin">
        <color indexed="64"/>
      </bottom>
      <diagonal/>
    </border>
    <border>
      <left style="thin">
        <color indexed="64"/>
      </left>
      <right/>
      <top style="thin">
        <color indexed="64"/>
      </top>
      <bottom style="thin">
        <color indexed="64"/>
      </bottom>
      <diagonal/>
    </border>
    <border>
      <left style="thin">
        <color indexed="64"/>
      </left>
      <right style="thin">
        <color rgb="FF000000"/>
      </right>
      <top style="thin">
        <color rgb="FF000000"/>
      </top>
      <bottom/>
      <diagonal/>
    </border>
    <border>
      <left/>
      <right/>
      <top style="thin">
        <color indexed="64"/>
      </top>
      <bottom/>
      <diagonal/>
    </border>
    <border>
      <left style="thin">
        <color indexed="64"/>
      </left>
      <right/>
      <top style="thin">
        <color rgb="FF000000"/>
      </top>
      <bottom/>
      <diagonal/>
    </border>
    <border>
      <left style="thin">
        <color rgb="FF000000"/>
      </left>
      <right style="thin">
        <color indexed="64"/>
      </right>
      <top style="thin">
        <color rgb="FF000000"/>
      </top>
      <bottom/>
      <diagonal/>
    </border>
  </borders>
  <cellStyleXfs count="2">
    <xf numFmtId="0" fontId="0" fillId="0" borderId="0"/>
    <xf numFmtId="0" fontId="1" fillId="0" borderId="0"/>
  </cellStyleXfs>
  <cellXfs count="698">
    <xf numFmtId="0" fontId="0" fillId="0" borderId="0" xfId="0"/>
    <xf numFmtId="0" fontId="2" fillId="0" borderId="0" xfId="1" applyFont="1"/>
    <xf numFmtId="0" fontId="3" fillId="3" borderId="1" xfId="1" applyFont="1" applyFill="1" applyBorder="1" applyAlignment="1">
      <alignment horizontal="left" vertical="center" wrapText="1"/>
    </xf>
    <xf numFmtId="0" fontId="3" fillId="3" borderId="1" xfId="1" applyFont="1" applyFill="1" applyBorder="1" applyAlignment="1">
      <alignment horizontal="center" vertical="center" wrapText="1"/>
    </xf>
    <xf numFmtId="0" fontId="4" fillId="0" borderId="0" xfId="0" applyFont="1" applyAlignment="1">
      <alignment horizontal="center" vertical="center" wrapText="1"/>
    </xf>
    <xf numFmtId="0" fontId="7" fillId="0" borderId="0" xfId="0" applyFont="1" applyAlignment="1">
      <alignment horizontal="center" vertical="center" wrapText="1"/>
    </xf>
    <xf numFmtId="0" fontId="1" fillId="0" borderId="0" xfId="1"/>
    <xf numFmtId="0" fontId="11" fillId="7" borderId="0" xfId="1" applyFont="1" applyFill="1" applyAlignment="1">
      <alignment vertical="center"/>
    </xf>
    <xf numFmtId="0" fontId="11" fillId="7" borderId="0" xfId="1" applyFont="1" applyFill="1" applyAlignment="1">
      <alignment vertical="center" wrapText="1"/>
    </xf>
    <xf numFmtId="0" fontId="1" fillId="0" borderId="0" xfId="1" applyAlignment="1">
      <alignment vertical="center"/>
    </xf>
    <xf numFmtId="0" fontId="1" fillId="0" borderId="0" xfId="1" applyAlignment="1">
      <alignment vertical="center" wrapText="1"/>
    </xf>
    <xf numFmtId="0" fontId="1" fillId="0" borderId="0" xfId="1" applyAlignment="1">
      <alignment wrapText="1"/>
    </xf>
    <xf numFmtId="0" fontId="4"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9" fillId="0" borderId="2" xfId="0" applyFont="1" applyBorder="1" applyAlignment="1">
      <alignment horizontal="center" vertical="center" wrapText="1"/>
    </xf>
    <xf numFmtId="0" fontId="12" fillId="0" borderId="6" xfId="0" applyFont="1" applyBorder="1" applyAlignment="1">
      <alignment horizontal="left" vertical="top" wrapText="1"/>
    </xf>
    <xf numFmtId="0" fontId="12" fillId="0" borderId="2" xfId="0" applyFont="1" applyBorder="1" applyAlignment="1">
      <alignment horizontal="left" vertical="top" wrapText="1"/>
    </xf>
    <xf numFmtId="0" fontId="4" fillId="0" borderId="2" xfId="0" applyFont="1" applyBorder="1" applyAlignment="1">
      <alignment horizontal="left" vertical="top" wrapText="1"/>
    </xf>
    <xf numFmtId="0" fontId="4" fillId="0" borderId="13" xfId="0" applyFont="1" applyBorder="1" applyAlignment="1">
      <alignment horizontal="center" vertical="center" wrapText="1"/>
    </xf>
    <xf numFmtId="0" fontId="12" fillId="0" borderId="22" xfId="0" applyFont="1" applyBorder="1" applyAlignment="1">
      <alignment wrapText="1"/>
    </xf>
    <xf numFmtId="0" fontId="5" fillId="2" borderId="2" xfId="0" applyFont="1" applyFill="1" applyBorder="1" applyAlignment="1">
      <alignment horizontal="left" vertical="top" wrapText="1"/>
    </xf>
    <xf numFmtId="0" fontId="12" fillId="0" borderId="22" xfId="0" applyFont="1" applyBorder="1" applyAlignment="1">
      <alignment horizontal="left" vertical="top" wrapText="1"/>
    </xf>
    <xf numFmtId="0" fontId="17" fillId="0" borderId="22" xfId="0" applyFont="1" applyBorder="1" applyAlignment="1">
      <alignment horizontal="left" vertical="top" wrapText="1"/>
    </xf>
    <xf numFmtId="0" fontId="17" fillId="0" borderId="20" xfId="0" applyFont="1" applyBorder="1" applyAlignment="1">
      <alignment horizontal="left" vertical="top" wrapText="1"/>
    </xf>
    <xf numFmtId="0" fontId="13" fillId="0" borderId="4" xfId="0" applyFont="1" applyBorder="1" applyAlignment="1">
      <alignment vertical="center" wrapText="1"/>
    </xf>
    <xf numFmtId="0" fontId="8" fillId="0" borderId="0" xfId="0" applyFont="1" applyAlignment="1">
      <alignment horizontal="left" vertical="top" wrapText="1"/>
    </xf>
    <xf numFmtId="0" fontId="15" fillId="0" borderId="0" xfId="0" applyFont="1"/>
    <xf numFmtId="0" fontId="8" fillId="0" borderId="0" xfId="0" applyFont="1" applyAlignment="1">
      <alignment horizontal="center" vertical="center" wrapText="1"/>
    </xf>
    <xf numFmtId="0" fontId="13" fillId="0" borderId="6" xfId="0" applyFont="1" applyBorder="1" applyAlignment="1">
      <alignment vertical="center" wrapText="1"/>
    </xf>
    <xf numFmtId="0" fontId="8" fillId="8" borderId="22" xfId="0" applyFont="1" applyFill="1" applyBorder="1" applyAlignment="1">
      <alignment horizontal="left" vertical="top" wrapText="1"/>
    </xf>
    <xf numFmtId="0" fontId="8" fillId="8" borderId="20" xfId="0" applyFont="1" applyFill="1" applyBorder="1" applyAlignment="1">
      <alignment horizontal="left" vertical="top" wrapText="1"/>
    </xf>
    <xf numFmtId="0" fontId="17" fillId="8" borderId="22" xfId="0" applyFont="1" applyFill="1" applyBorder="1" applyAlignment="1">
      <alignment horizontal="left" vertical="top" wrapText="1"/>
    </xf>
    <xf numFmtId="0" fontId="17" fillId="8" borderId="20" xfId="0" applyFont="1" applyFill="1" applyBorder="1" applyAlignment="1">
      <alignment horizontal="left" vertical="top" wrapText="1"/>
    </xf>
    <xf numFmtId="0" fontId="17" fillId="8" borderId="6" xfId="0" applyFont="1" applyFill="1" applyBorder="1" applyAlignment="1">
      <alignment horizontal="left" vertical="top" wrapText="1"/>
    </xf>
    <xf numFmtId="0" fontId="4" fillId="0" borderId="0" xfId="0" applyFont="1" applyAlignment="1">
      <alignment horizontal="left" vertical="top" wrapText="1"/>
    </xf>
    <xf numFmtId="0" fontId="8" fillId="8" borderId="6" xfId="0" applyFont="1" applyFill="1" applyBorder="1" applyAlignment="1">
      <alignment horizontal="left" vertical="top" wrapText="1"/>
    </xf>
    <xf numFmtId="0" fontId="17" fillId="0" borderId="13" xfId="0" applyFont="1" applyBorder="1" applyAlignment="1">
      <alignment horizontal="left" vertical="top" wrapText="1"/>
    </xf>
    <xf numFmtId="0" fontId="12" fillId="0" borderId="5" xfId="0" applyFont="1" applyBorder="1" applyAlignment="1">
      <alignment horizontal="left" vertical="top" wrapText="1"/>
    </xf>
    <xf numFmtId="0" fontId="12" fillId="0" borderId="3" xfId="0" applyFont="1" applyBorder="1" applyAlignment="1">
      <alignment horizontal="left" vertical="top" wrapText="1"/>
    </xf>
    <xf numFmtId="0" fontId="17" fillId="0" borderId="5" xfId="0" applyFont="1" applyBorder="1" applyAlignment="1">
      <alignment horizontal="left" vertical="top" wrapText="1"/>
    </xf>
    <xf numFmtId="0" fontId="17" fillId="0" borderId="3" xfId="0" applyFont="1" applyBorder="1" applyAlignment="1">
      <alignment horizontal="left" vertical="top" wrapText="1"/>
    </xf>
    <xf numFmtId="0" fontId="17" fillId="0" borderId="0" xfId="0" applyFont="1" applyAlignment="1">
      <alignment horizontal="left" vertical="top" wrapText="1"/>
    </xf>
    <xf numFmtId="0" fontId="4" fillId="0" borderId="20" xfId="0" applyFont="1" applyBorder="1" applyAlignment="1">
      <alignment horizontal="left" vertical="top" wrapText="1"/>
    </xf>
    <xf numFmtId="0" fontId="4" fillId="0" borderId="13" xfId="0" applyFont="1" applyBorder="1" applyAlignment="1">
      <alignment horizontal="left" vertical="top" wrapText="1"/>
    </xf>
    <xf numFmtId="0" fontId="7" fillId="0" borderId="6" xfId="0" applyFont="1" applyBorder="1" applyAlignment="1">
      <alignment horizontal="left" vertical="top" wrapText="1"/>
    </xf>
    <xf numFmtId="0" fontId="4" fillId="0" borderId="9" xfId="0" applyFont="1" applyBorder="1" applyAlignment="1">
      <alignment horizontal="left" vertical="top" wrapText="1"/>
    </xf>
    <xf numFmtId="0" fontId="4" fillId="0" borderId="6" xfId="0" applyFont="1" applyBorder="1" applyAlignment="1">
      <alignment horizontal="left" vertical="top" wrapText="1"/>
    </xf>
    <xf numFmtId="0" fontId="12" fillId="0" borderId="14" xfId="0" applyFont="1" applyBorder="1" applyAlignment="1">
      <alignment horizontal="left" vertical="top" wrapText="1"/>
    </xf>
    <xf numFmtId="0" fontId="4" fillId="0" borderId="4" xfId="0" applyFont="1" applyBorder="1" applyAlignment="1">
      <alignment horizontal="left" vertical="top" wrapText="1"/>
    </xf>
    <xf numFmtId="0" fontId="17" fillId="0" borderId="6" xfId="0" applyFont="1" applyBorder="1" applyAlignment="1">
      <alignment horizontal="left" vertical="top" wrapText="1"/>
    </xf>
    <xf numFmtId="0" fontId="7" fillId="0" borderId="3" xfId="0" applyFont="1" applyBorder="1" applyAlignment="1">
      <alignment horizontal="left" vertical="top" wrapText="1"/>
    </xf>
    <xf numFmtId="0" fontId="8" fillId="0" borderId="6" xfId="0" applyFont="1" applyBorder="1" applyAlignment="1">
      <alignment horizontal="left" vertical="top" wrapText="1"/>
    </xf>
    <xf numFmtId="0" fontId="13" fillId="0" borderId="6" xfId="0" applyFont="1" applyBorder="1" applyAlignment="1">
      <alignment horizontal="left" vertical="top" wrapText="1"/>
    </xf>
    <xf numFmtId="0" fontId="17" fillId="0" borderId="34" xfId="0" applyFont="1" applyBorder="1" applyAlignment="1">
      <alignment horizontal="left" vertical="top" wrapText="1"/>
    </xf>
    <xf numFmtId="0" fontId="17" fillId="0" borderId="2" xfId="0" applyFont="1" applyBorder="1" applyAlignment="1">
      <alignment horizontal="left" vertical="top" wrapText="1"/>
    </xf>
    <xf numFmtId="0" fontId="17" fillId="0" borderId="35" xfId="0" applyFont="1" applyBorder="1" applyAlignment="1">
      <alignment horizontal="left" vertical="top" wrapText="1"/>
    </xf>
    <xf numFmtId="0" fontId="16" fillId="0" borderId="2" xfId="0" applyFont="1" applyBorder="1" applyAlignment="1">
      <alignment horizontal="left" vertical="top" wrapText="1"/>
    </xf>
    <xf numFmtId="0" fontId="4" fillId="0" borderId="11" xfId="0" applyFont="1" applyBorder="1" applyAlignment="1">
      <alignment horizontal="left" vertical="top" wrapText="1"/>
    </xf>
    <xf numFmtId="0" fontId="5" fillId="2" borderId="6" xfId="0" applyFont="1" applyFill="1" applyBorder="1" applyAlignment="1">
      <alignment horizontal="left" vertical="top" wrapText="1"/>
    </xf>
    <xf numFmtId="0" fontId="16" fillId="0" borderId="6" xfId="0" applyFont="1" applyBorder="1" applyAlignment="1">
      <alignment horizontal="left" vertical="top" wrapText="1"/>
    </xf>
    <xf numFmtId="0" fontId="22" fillId="2" borderId="6" xfId="0" applyFont="1" applyFill="1" applyBorder="1" applyAlignment="1">
      <alignment horizontal="left" vertical="top" wrapText="1"/>
    </xf>
    <xf numFmtId="0" fontId="17" fillId="0" borderId="6" xfId="0" applyFont="1" applyBorder="1" applyAlignment="1">
      <alignment horizontal="left" vertical="top"/>
    </xf>
    <xf numFmtId="0" fontId="16" fillId="0" borderId="6" xfId="0" applyFont="1" applyBorder="1" applyAlignment="1">
      <alignment horizontal="left" vertical="top"/>
    </xf>
    <xf numFmtId="0" fontId="24" fillId="0" borderId="6" xfId="0" applyFont="1" applyBorder="1" applyAlignment="1">
      <alignment horizontal="left" vertical="top" wrapText="1"/>
    </xf>
    <xf numFmtId="0" fontId="12" fillId="11" borderId="6" xfId="0" applyFont="1" applyFill="1" applyBorder="1" applyAlignment="1">
      <alignment horizontal="left" vertical="top" wrapText="1"/>
    </xf>
    <xf numFmtId="0" fontId="12" fillId="8" borderId="6" xfId="0" applyFont="1" applyFill="1" applyBorder="1" applyAlignment="1">
      <alignment horizontal="left" vertical="top" wrapText="1"/>
    </xf>
    <xf numFmtId="0" fontId="4" fillId="0" borderId="22" xfId="0" applyFont="1" applyBorder="1" applyAlignment="1">
      <alignment horizontal="center" vertical="center" wrapText="1"/>
    </xf>
    <xf numFmtId="0" fontId="27" fillId="5" borderId="6" xfId="0" applyFont="1" applyFill="1" applyBorder="1" applyAlignment="1">
      <alignment horizontal="center" vertical="center" wrapText="1"/>
    </xf>
    <xf numFmtId="0" fontId="27" fillId="5" borderId="6" xfId="0" applyFont="1" applyFill="1" applyBorder="1" applyAlignment="1">
      <alignment horizontal="center" vertical="top" wrapText="1"/>
    </xf>
    <xf numFmtId="0" fontId="28" fillId="0" borderId="6" xfId="0" applyFont="1" applyBorder="1"/>
    <xf numFmtId="0" fontId="28" fillId="0" borderId="6" xfId="0" applyFont="1" applyBorder="1" applyAlignment="1">
      <alignment wrapText="1"/>
    </xf>
    <xf numFmtId="0" fontId="12" fillId="0" borderId="7" xfId="0" applyFont="1" applyBorder="1" applyAlignment="1">
      <alignment wrapText="1"/>
    </xf>
    <xf numFmtId="0" fontId="12" fillId="0" borderId="20" xfId="0" applyFont="1" applyBorder="1" applyAlignment="1">
      <alignment wrapText="1"/>
    </xf>
    <xf numFmtId="0" fontId="29" fillId="0" borderId="6" xfId="0" applyFont="1" applyBorder="1" applyAlignment="1">
      <alignment horizontal="center" wrapText="1"/>
    </xf>
    <xf numFmtId="0" fontId="28" fillId="0" borderId="6" xfId="0" applyFont="1" applyBorder="1" applyAlignment="1">
      <alignment horizontal="center"/>
    </xf>
    <xf numFmtId="0" fontId="12" fillId="0" borderId="9" xfId="0" applyFont="1" applyBorder="1" applyAlignment="1">
      <alignment horizontal="left" vertical="top" wrapText="1"/>
    </xf>
    <xf numFmtId="0" fontId="12" fillId="0" borderId="9" xfId="0" applyFont="1" applyBorder="1" applyAlignment="1">
      <alignment wrapText="1"/>
    </xf>
    <xf numFmtId="0" fontId="24" fillId="0" borderId="2" xfId="0" applyFont="1" applyBorder="1" applyAlignment="1">
      <alignment horizontal="left" vertical="top" wrapText="1"/>
    </xf>
    <xf numFmtId="0" fontId="24" fillId="0" borderId="3" xfId="0" applyFont="1" applyBorder="1" applyAlignment="1">
      <alignment horizontal="left" vertical="top" wrapText="1"/>
    </xf>
    <xf numFmtId="0" fontId="30" fillId="0" borderId="6" xfId="0" applyFont="1" applyBorder="1"/>
    <xf numFmtId="0" fontId="30" fillId="0" borderId="6" xfId="0" applyFont="1" applyBorder="1" applyAlignment="1">
      <alignment wrapText="1"/>
    </xf>
    <xf numFmtId="0" fontId="31" fillId="0" borderId="6" xfId="0" applyFont="1" applyBorder="1" applyAlignment="1">
      <alignment horizontal="center" wrapText="1"/>
    </xf>
    <xf numFmtId="0" fontId="32" fillId="0" borderId="0" xfId="0" applyFont="1"/>
    <xf numFmtId="0" fontId="32" fillId="0" borderId="0" xfId="0" applyFont="1" applyAlignment="1">
      <alignment wrapText="1"/>
    </xf>
    <xf numFmtId="0" fontId="5" fillId="2" borderId="9" xfId="0" applyFont="1" applyFill="1" applyBorder="1" applyAlignment="1">
      <alignment horizontal="left" vertical="top" wrapText="1"/>
    </xf>
    <xf numFmtId="0" fontId="17" fillId="0" borderId="9" xfId="0" applyFont="1" applyBorder="1" applyAlignment="1">
      <alignment horizontal="left" vertical="top" wrapText="1"/>
    </xf>
    <xf numFmtId="0" fontId="17" fillId="8" borderId="9" xfId="0" applyFont="1" applyFill="1" applyBorder="1" applyAlignment="1">
      <alignment horizontal="left" vertical="top" wrapText="1"/>
    </xf>
    <xf numFmtId="0" fontId="8" fillId="0" borderId="0" xfId="0" applyFont="1" applyAlignment="1">
      <alignment wrapText="1"/>
    </xf>
    <xf numFmtId="0" fontId="7" fillId="0" borderId="20" xfId="0" applyFont="1" applyBorder="1" applyAlignment="1">
      <alignment vertical="top" wrapText="1"/>
    </xf>
    <xf numFmtId="0" fontId="12" fillId="0" borderId="4" xfId="0" applyFont="1" applyBorder="1" applyAlignment="1">
      <alignment vertical="top" wrapText="1"/>
    </xf>
    <xf numFmtId="0" fontId="7" fillId="0" borderId="2" xfId="0" applyFont="1" applyBorder="1" applyAlignment="1">
      <alignment horizontal="left" vertical="top" wrapText="1"/>
    </xf>
    <xf numFmtId="0" fontId="8" fillId="8" borderId="5" xfId="0" applyFont="1" applyFill="1" applyBorder="1" applyAlignment="1">
      <alignment vertical="top" wrapText="1"/>
    </xf>
    <xf numFmtId="0" fontId="7" fillId="8" borderId="0" xfId="0" applyFont="1" applyFill="1" applyAlignment="1">
      <alignment horizontal="center" vertical="center" wrapText="1"/>
    </xf>
    <xf numFmtId="0" fontId="4" fillId="0" borderId="3" xfId="0" applyFont="1" applyBorder="1" applyAlignment="1">
      <alignment horizontal="center" vertical="center" wrapText="1"/>
    </xf>
    <xf numFmtId="0" fontId="4" fillId="0" borderId="5" xfId="0" applyFont="1" applyBorder="1" applyAlignment="1">
      <alignment horizontal="left" vertical="top" wrapText="1"/>
    </xf>
    <xf numFmtId="0" fontId="12" fillId="0" borderId="13" xfId="0" applyFont="1" applyBorder="1" applyAlignment="1">
      <alignment horizontal="left" vertical="top" wrapText="1"/>
    </xf>
    <xf numFmtId="0" fontId="12" fillId="0" borderId="8" xfId="0" applyFont="1" applyBorder="1" applyAlignment="1">
      <alignment horizontal="left" vertical="top" wrapText="1"/>
    </xf>
    <xf numFmtId="0" fontId="4" fillId="0" borderId="21" xfId="0" applyFont="1" applyBorder="1" applyAlignment="1">
      <alignment horizontal="center" vertical="center" wrapText="1"/>
    </xf>
    <xf numFmtId="0" fontId="6" fillId="0" borderId="6" xfId="0" applyFont="1" applyBorder="1" applyAlignment="1">
      <alignment horizontal="left" vertical="top" wrapText="1"/>
    </xf>
    <xf numFmtId="0" fontId="12" fillId="0" borderId="14" xfId="0" applyFont="1" applyBorder="1" applyAlignment="1">
      <alignment horizontal="center" vertical="top" wrapText="1"/>
    </xf>
    <xf numFmtId="0" fontId="12" fillId="0" borderId="6" xfId="0" applyFont="1" applyBorder="1" applyAlignment="1">
      <alignment horizontal="center" vertical="top" wrapText="1"/>
    </xf>
    <xf numFmtId="0" fontId="4" fillId="0" borderId="6" xfId="0" applyFont="1" applyBorder="1" applyAlignment="1">
      <alignment horizontal="center" vertical="top" wrapText="1"/>
    </xf>
    <xf numFmtId="0" fontId="7" fillId="0" borderId="6" xfId="0" applyFont="1" applyBorder="1" applyAlignment="1">
      <alignment horizontal="center" vertical="top" wrapText="1"/>
    </xf>
    <xf numFmtId="0" fontId="7" fillId="0" borderId="8" xfId="0" applyFont="1" applyBorder="1" applyAlignment="1">
      <alignment horizontal="left" vertical="top" wrapText="1"/>
    </xf>
    <xf numFmtId="0" fontId="4" fillId="0" borderId="45" xfId="0" applyFont="1" applyBorder="1" applyAlignment="1">
      <alignment horizontal="center" vertical="center" wrapText="1"/>
    </xf>
    <xf numFmtId="0" fontId="5" fillId="2" borderId="6" xfId="0" applyFont="1" applyFill="1" applyBorder="1" applyAlignment="1">
      <alignment horizontal="center" vertical="top" wrapText="1"/>
    </xf>
    <xf numFmtId="0" fontId="17" fillId="0" borderId="6" xfId="0" applyFont="1" applyBorder="1" applyAlignment="1">
      <alignment horizontal="center" vertical="top" wrapText="1"/>
    </xf>
    <xf numFmtId="0" fontId="8" fillId="0" borderId="6" xfId="0" applyFont="1" applyBorder="1" applyAlignment="1">
      <alignment horizontal="center" vertical="top" wrapText="1"/>
    </xf>
    <xf numFmtId="0" fontId="7" fillId="0" borderId="28" xfId="0" applyFont="1" applyBorder="1" applyAlignment="1">
      <alignment horizontal="center" vertical="top" wrapText="1"/>
    </xf>
    <xf numFmtId="0" fontId="12" fillId="11" borderId="6" xfId="0" applyFont="1" applyFill="1" applyBorder="1" applyAlignment="1">
      <alignment horizontal="center" vertical="top" wrapText="1"/>
    </xf>
    <xf numFmtId="0" fontId="17" fillId="8" borderId="6" xfId="0" applyFont="1" applyFill="1" applyBorder="1" applyAlignment="1">
      <alignment horizontal="center" vertical="top" wrapText="1"/>
    </xf>
    <xf numFmtId="0" fontId="8" fillId="8" borderId="6" xfId="0" applyFont="1" applyFill="1" applyBorder="1" applyAlignment="1">
      <alignment horizontal="center" vertical="top" wrapText="1"/>
    </xf>
    <xf numFmtId="0" fontId="13" fillId="0" borderId="6" xfId="0" applyFont="1" applyBorder="1" applyAlignment="1">
      <alignment horizontal="center" vertical="top" wrapText="1"/>
    </xf>
    <xf numFmtId="0" fontId="16" fillId="0" borderId="6" xfId="0" applyFont="1" applyBorder="1" applyAlignment="1">
      <alignment horizontal="center" vertical="top" wrapText="1"/>
    </xf>
    <xf numFmtId="0" fontId="8" fillId="0" borderId="22" xfId="0" applyFont="1" applyBorder="1" applyAlignment="1">
      <alignment horizontal="center" vertical="top" wrapText="1"/>
    </xf>
    <xf numFmtId="0" fontId="12" fillId="8" borderId="6" xfId="0" applyFont="1" applyFill="1" applyBorder="1" applyAlignment="1">
      <alignment horizontal="center" vertical="top" wrapText="1"/>
    </xf>
    <xf numFmtId="0" fontId="12" fillId="0" borderId="22" xfId="0" applyFont="1" applyBorder="1" applyAlignment="1">
      <alignment horizontal="center" wrapText="1"/>
    </xf>
    <xf numFmtId="0" fontId="12" fillId="0" borderId="20" xfId="0" applyFont="1" applyBorder="1" applyAlignment="1">
      <alignment horizontal="center" wrapText="1"/>
    </xf>
    <xf numFmtId="0" fontId="12" fillId="0" borderId="7" xfId="0" applyFont="1" applyBorder="1" applyAlignment="1">
      <alignment horizontal="center" wrapText="1"/>
    </xf>
    <xf numFmtId="0" fontId="12" fillId="0" borderId="9" xfId="0" applyFont="1" applyBorder="1" applyAlignment="1">
      <alignment horizontal="center" wrapText="1"/>
    </xf>
    <xf numFmtId="0" fontId="12" fillId="0" borderId="42" xfId="0" applyFont="1" applyBorder="1" applyAlignment="1">
      <alignment horizontal="center" vertical="top" wrapText="1"/>
    </xf>
    <xf numFmtId="0" fontId="12" fillId="0" borderId="41" xfId="0" applyFont="1" applyBorder="1" applyAlignment="1">
      <alignment horizontal="center" vertical="top" wrapText="1"/>
    </xf>
    <xf numFmtId="0" fontId="12" fillId="0" borderId="0" xfId="0" applyFont="1" applyAlignment="1">
      <alignment horizontal="center" vertical="top" wrapText="1"/>
    </xf>
    <xf numFmtId="0" fontId="17" fillId="8" borderId="22" xfId="0" applyFont="1" applyFill="1" applyBorder="1" applyAlignment="1">
      <alignment horizontal="center" wrapText="1"/>
    </xf>
    <xf numFmtId="0" fontId="17" fillId="8" borderId="20" xfId="0" applyFont="1" applyFill="1" applyBorder="1" applyAlignment="1">
      <alignment horizontal="center" wrapText="1"/>
    </xf>
    <xf numFmtId="0" fontId="12" fillId="0" borderId="6" xfId="0" applyFont="1" applyBorder="1" applyAlignment="1">
      <alignment vertical="top" wrapText="1"/>
    </xf>
    <xf numFmtId="0" fontId="7" fillId="0" borderId="22" xfId="0" applyFont="1" applyBorder="1" applyAlignment="1">
      <alignment horizontal="center" vertical="top" wrapText="1"/>
    </xf>
    <xf numFmtId="0" fontId="7" fillId="0" borderId="20" xfId="0" applyFont="1" applyBorder="1" applyAlignment="1">
      <alignment horizontal="center" vertical="top" wrapText="1"/>
    </xf>
    <xf numFmtId="0" fontId="20" fillId="0" borderId="9" xfId="0" applyFont="1" applyBorder="1" applyAlignment="1">
      <alignment horizontal="left" vertical="top" wrapText="1"/>
    </xf>
    <xf numFmtId="0" fontId="23" fillId="0" borderId="43" xfId="0" applyFont="1" applyBorder="1" applyAlignment="1">
      <alignment horizontal="center" vertical="top" wrapText="1"/>
    </xf>
    <xf numFmtId="0" fontId="23" fillId="0" borderId="2" xfId="0" applyFont="1" applyBorder="1" applyAlignment="1">
      <alignment horizontal="left" vertical="top" wrapText="1"/>
    </xf>
    <xf numFmtId="0" fontId="23" fillId="0" borderId="2" xfId="0" applyFont="1" applyBorder="1" applyAlignment="1">
      <alignment horizontal="center" vertical="center" wrapText="1"/>
    </xf>
    <xf numFmtId="0" fontId="15" fillId="0" borderId="2" xfId="0" applyFont="1" applyBorder="1"/>
    <xf numFmtId="0" fontId="4" fillId="0" borderId="2" xfId="0" applyFont="1" applyBorder="1" applyAlignment="1">
      <alignment horizontal="center" vertical="top" wrapText="1"/>
    </xf>
    <xf numFmtId="0" fontId="17" fillId="0" borderId="8" xfId="0" applyFont="1" applyBorder="1" applyAlignment="1">
      <alignment horizontal="center" vertical="top" wrapText="1"/>
    </xf>
    <xf numFmtId="0" fontId="4" fillId="0" borderId="14" xfId="0" applyFont="1" applyBorder="1" applyAlignment="1">
      <alignment horizontal="left" vertical="top" wrapText="1"/>
    </xf>
    <xf numFmtId="0" fontId="17" fillId="0" borderId="8" xfId="0" applyFont="1" applyBorder="1" applyAlignment="1">
      <alignment horizontal="left" vertical="top" wrapText="1"/>
    </xf>
    <xf numFmtId="0" fontId="7" fillId="0" borderId="5" xfId="0" applyFont="1" applyBorder="1" applyAlignment="1">
      <alignment wrapText="1"/>
    </xf>
    <xf numFmtId="0" fontId="1" fillId="4" borderId="1" xfId="1" applyFill="1" applyBorder="1" applyAlignment="1">
      <alignment wrapText="1"/>
    </xf>
    <xf numFmtId="0" fontId="1" fillId="4" borderId="1" xfId="1" applyFill="1" applyBorder="1" applyAlignment="1">
      <alignment horizontal="left" vertical="top" wrapText="1"/>
    </xf>
    <xf numFmtId="0" fontId="4" fillId="0" borderId="19" xfId="0" applyFont="1" applyBorder="1" applyAlignment="1">
      <alignment horizontal="center" vertical="top" wrapText="1"/>
    </xf>
    <xf numFmtId="0" fontId="7" fillId="0" borderId="13" xfId="0" applyFont="1" applyBorder="1" applyAlignment="1">
      <alignment wrapText="1"/>
    </xf>
    <xf numFmtId="0" fontId="7" fillId="0" borderId="9" xfId="0" applyFont="1" applyBorder="1" applyAlignment="1">
      <alignment horizontal="center" vertical="top" wrapText="1"/>
    </xf>
    <xf numFmtId="0" fontId="12" fillId="0" borderId="9" xfId="0" applyFont="1" applyBorder="1" applyAlignment="1">
      <alignment horizontal="center" vertical="top" wrapText="1"/>
    </xf>
    <xf numFmtId="0" fontId="23" fillId="0" borderId="7" xfId="0" applyFont="1" applyBorder="1" applyAlignment="1">
      <alignment horizontal="left" vertical="top" wrapText="1"/>
    </xf>
    <xf numFmtId="0" fontId="12" fillId="8" borderId="6" xfId="0" applyFont="1" applyFill="1" applyBorder="1" applyAlignment="1">
      <alignment horizontal="left" vertical="center" wrapText="1"/>
    </xf>
    <xf numFmtId="0" fontId="13" fillId="0" borderId="14" xfId="0" applyFont="1" applyBorder="1" applyAlignment="1">
      <alignment horizontal="left" vertical="top" wrapText="1"/>
    </xf>
    <xf numFmtId="0" fontId="4" fillId="0" borderId="40" xfId="0" applyFont="1" applyBorder="1" applyAlignment="1">
      <alignment horizontal="left" vertical="top" wrapText="1"/>
    </xf>
    <xf numFmtId="0" fontId="4" fillId="0" borderId="16" xfId="0" applyFont="1" applyBorder="1" applyAlignment="1">
      <alignment horizontal="left" vertical="top" wrapText="1"/>
    </xf>
    <xf numFmtId="0" fontId="4" fillId="0" borderId="40" xfId="0" applyFont="1" applyBorder="1" applyAlignment="1">
      <alignment horizontal="center" vertical="top" wrapText="1"/>
    </xf>
    <xf numFmtId="0" fontId="17" fillId="0" borderId="6" xfId="0" applyFont="1" applyBorder="1" applyAlignment="1">
      <alignment horizontal="center" vertical="center" wrapText="1"/>
    </xf>
    <xf numFmtId="0" fontId="4" fillId="0" borderId="9" xfId="0" applyFont="1" applyBorder="1" applyAlignment="1">
      <alignment horizontal="center" vertical="top" wrapText="1"/>
    </xf>
    <xf numFmtId="0" fontId="4" fillId="8" borderId="14" xfId="0" applyFont="1" applyFill="1" applyBorder="1" applyAlignment="1">
      <alignment horizontal="left" vertical="top" wrapText="1"/>
    </xf>
    <xf numFmtId="0" fontId="4" fillId="0" borderId="15" xfId="0" applyFont="1" applyBorder="1" applyAlignment="1">
      <alignment horizontal="left" vertical="top" wrapText="1"/>
    </xf>
    <xf numFmtId="0" fontId="4" fillId="0" borderId="14" xfId="0" applyFont="1" applyBorder="1" applyAlignment="1">
      <alignment horizontal="center" vertical="top" wrapText="1"/>
    </xf>
    <xf numFmtId="0" fontId="4" fillId="0" borderId="20" xfId="0" applyFont="1" applyBorder="1" applyAlignment="1">
      <alignment horizontal="center" vertical="top" wrapText="1"/>
    </xf>
    <xf numFmtId="0" fontId="12" fillId="0" borderId="5" xfId="0" applyFont="1" applyBorder="1" applyAlignment="1">
      <alignment wrapText="1"/>
    </xf>
    <xf numFmtId="0" fontId="16" fillId="0" borderId="14" xfId="0" applyFont="1" applyBorder="1" applyAlignment="1">
      <alignment horizontal="left" vertical="top" wrapText="1"/>
    </xf>
    <xf numFmtId="0" fontId="13" fillId="0" borderId="8" xfId="0" applyFont="1" applyBorder="1" applyAlignment="1">
      <alignment horizontal="center" vertical="center" wrapText="1"/>
    </xf>
    <xf numFmtId="0" fontId="17" fillId="8" borderId="2" xfId="0" applyFont="1" applyFill="1" applyBorder="1" applyAlignment="1">
      <alignment horizontal="center" vertical="top" wrapText="1"/>
    </xf>
    <xf numFmtId="0" fontId="4" fillId="0" borderId="39" xfId="0" applyFont="1" applyBorder="1" applyAlignment="1">
      <alignment horizontal="center" vertical="top" wrapText="1"/>
    </xf>
    <xf numFmtId="0" fontId="4" fillId="0" borderId="2" xfId="0" applyFont="1" applyBorder="1" applyAlignment="1">
      <alignment vertical="center" wrapText="1"/>
    </xf>
    <xf numFmtId="0" fontId="13" fillId="0" borderId="9" xfId="0" applyFont="1" applyBorder="1" applyAlignment="1">
      <alignment horizontal="left" vertical="top" wrapText="1"/>
    </xf>
    <xf numFmtId="0" fontId="4" fillId="0" borderId="15" xfId="0" applyFont="1" applyBorder="1" applyAlignment="1">
      <alignment horizontal="center" vertical="top" wrapText="1"/>
    </xf>
    <xf numFmtId="0" fontId="13" fillId="0" borderId="7" xfId="0" applyFont="1" applyBorder="1" applyAlignment="1">
      <alignment horizontal="left" vertical="top" wrapText="1"/>
    </xf>
    <xf numFmtId="0" fontId="4" fillId="0" borderId="13" xfId="0" applyFont="1" applyBorder="1" applyAlignment="1">
      <alignment horizontal="center" vertical="top" wrapText="1"/>
    </xf>
    <xf numFmtId="0" fontId="5" fillId="5" borderId="6" xfId="0" applyFont="1" applyFill="1" applyBorder="1" applyAlignment="1">
      <alignment horizontal="center" vertical="center" wrapText="1"/>
    </xf>
    <xf numFmtId="0" fontId="12" fillId="0" borderId="6" xfId="0" applyFont="1" applyBorder="1" applyAlignment="1">
      <alignment horizontal="center" vertical="center" wrapText="1"/>
    </xf>
    <xf numFmtId="0" fontId="12" fillId="0" borderId="8" xfId="0" applyFont="1" applyBorder="1" applyAlignment="1">
      <alignment horizontal="center" vertical="center" wrapText="1"/>
    </xf>
    <xf numFmtId="0" fontId="8" fillId="0" borderId="6" xfId="0" applyFont="1" applyBorder="1" applyAlignment="1">
      <alignment horizontal="center" vertical="center" wrapText="1"/>
    </xf>
    <xf numFmtId="0" fontId="4" fillId="0" borderId="6" xfId="0" applyFont="1" applyBorder="1" applyAlignment="1">
      <alignment horizontal="center" vertical="center" wrapText="1"/>
    </xf>
    <xf numFmtId="0" fontId="7" fillId="0" borderId="6" xfId="0" applyFont="1" applyBorder="1" applyAlignment="1">
      <alignment horizontal="center" vertical="center" wrapText="1"/>
    </xf>
    <xf numFmtId="0" fontId="25" fillId="0" borderId="6" xfId="0" applyFont="1" applyBorder="1" applyAlignment="1">
      <alignment horizontal="center" vertical="center" wrapText="1"/>
    </xf>
    <xf numFmtId="0" fontId="5" fillId="2" borderId="6" xfId="0" applyFont="1" applyFill="1" applyBorder="1" applyAlignment="1">
      <alignment horizontal="center" vertical="center" wrapText="1"/>
    </xf>
    <xf numFmtId="0" fontId="16" fillId="0" borderId="6" xfId="0" applyFont="1" applyBorder="1" applyAlignment="1">
      <alignment horizontal="center" vertical="center" wrapText="1"/>
    </xf>
    <xf numFmtId="0" fontId="5" fillId="2" borderId="22" xfId="0" applyFont="1" applyFill="1" applyBorder="1" applyAlignment="1">
      <alignment horizontal="center" vertical="top" wrapText="1"/>
    </xf>
    <xf numFmtId="0" fontId="5" fillId="2" borderId="2" xfId="0" applyFont="1" applyFill="1" applyBorder="1" applyAlignment="1">
      <alignment horizontal="center" vertical="top" wrapText="1"/>
    </xf>
    <xf numFmtId="0" fontId="17" fillId="0" borderId="22" xfId="0" applyFont="1" applyBorder="1" applyAlignment="1">
      <alignment horizontal="center" vertical="top" wrapText="1"/>
    </xf>
    <xf numFmtId="0" fontId="17" fillId="0" borderId="20" xfId="0" applyFont="1" applyBorder="1" applyAlignment="1">
      <alignment horizontal="center" vertical="top" wrapText="1"/>
    </xf>
    <xf numFmtId="0" fontId="12" fillId="0" borderId="22" xfId="0" applyFont="1" applyBorder="1" applyAlignment="1">
      <alignment horizontal="center" vertical="top" wrapText="1"/>
    </xf>
    <xf numFmtId="0" fontId="4" fillId="0" borderId="22" xfId="0" applyFont="1" applyBorder="1" applyAlignment="1">
      <alignment horizontal="center" vertical="top" wrapText="1"/>
    </xf>
    <xf numFmtId="0" fontId="4" fillId="0" borderId="27" xfId="0" applyFont="1" applyBorder="1" applyAlignment="1">
      <alignment horizontal="center" vertical="top" wrapText="1"/>
    </xf>
    <xf numFmtId="0" fontId="7" fillId="0" borderId="3" xfId="0" applyFont="1" applyBorder="1" applyAlignment="1">
      <alignment horizontal="center" vertical="top"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17" fillId="0" borderId="22" xfId="0" applyFont="1" applyBorder="1" applyAlignment="1">
      <alignment horizontal="center" vertical="center" wrapText="1"/>
    </xf>
    <xf numFmtId="0" fontId="5" fillId="6" borderId="2" xfId="0" applyFont="1" applyFill="1" applyBorder="1" applyAlignment="1">
      <alignment horizontal="center" vertical="center" wrapText="1"/>
    </xf>
    <xf numFmtId="0" fontId="18" fillId="0" borderId="20" xfId="0" applyFont="1" applyBorder="1" applyAlignment="1">
      <alignment horizontal="center" vertical="center" wrapText="1"/>
    </xf>
    <xf numFmtId="0" fontId="19" fillId="0" borderId="20" xfId="0" applyFont="1" applyBorder="1" applyAlignment="1">
      <alignment horizontal="center" vertical="center" wrapText="1"/>
    </xf>
    <xf numFmtId="0" fontId="12" fillId="0" borderId="22" xfId="0" applyFont="1" applyBorder="1" applyAlignment="1">
      <alignment horizontal="center" vertical="center" wrapText="1"/>
    </xf>
    <xf numFmtId="0" fontId="18" fillId="0" borderId="22" xfId="0" applyFont="1" applyBorder="1" applyAlignment="1">
      <alignment horizontal="center" vertical="center" wrapText="1"/>
    </xf>
    <xf numFmtId="0" fontId="19" fillId="0" borderId="22" xfId="0" applyFont="1" applyBorder="1" applyAlignment="1">
      <alignment horizontal="center" vertical="center" wrapText="1"/>
    </xf>
    <xf numFmtId="0" fontId="12" fillId="0" borderId="4" xfId="0" applyFont="1" applyBorder="1" applyAlignment="1">
      <alignment horizontal="center" vertical="center" wrapText="1"/>
    </xf>
    <xf numFmtId="0" fontId="4" fillId="0" borderId="39" xfId="0" applyFont="1" applyBorder="1" applyAlignment="1">
      <alignment horizontal="center" vertical="center" wrapText="1"/>
    </xf>
    <xf numFmtId="0" fontId="15" fillId="0" borderId="2" xfId="0" applyFont="1" applyBorder="1" applyAlignment="1">
      <alignment horizontal="center" vertical="center"/>
    </xf>
    <xf numFmtId="0" fontId="0" fillId="0" borderId="0" xfId="0" applyAlignment="1">
      <alignment horizontal="center" vertical="center"/>
    </xf>
    <xf numFmtId="0" fontId="12" fillId="0" borderId="2" xfId="0" applyFont="1" applyBorder="1" applyAlignment="1">
      <alignment vertical="center" wrapText="1"/>
    </xf>
    <xf numFmtId="0" fontId="12" fillId="0" borderId="2" xfId="0" applyFont="1" applyBorder="1" applyAlignment="1">
      <alignment horizontal="center" vertical="center" wrapText="1"/>
    </xf>
    <xf numFmtId="0" fontId="12" fillId="0" borderId="4" xfId="0" applyFont="1" applyBorder="1" applyAlignment="1">
      <alignment vertical="center" wrapText="1"/>
    </xf>
    <xf numFmtId="0" fontId="7" fillId="0" borderId="2" xfId="0" applyFont="1" applyBorder="1" applyAlignment="1">
      <alignment vertical="top" wrapText="1"/>
    </xf>
    <xf numFmtId="0" fontId="17" fillId="0" borderId="22" xfId="0" applyFont="1" applyBorder="1" applyAlignment="1">
      <alignment wrapText="1"/>
    </xf>
    <xf numFmtId="0" fontId="17" fillId="0" borderId="20" xfId="0" applyFont="1" applyBorder="1" applyAlignment="1">
      <alignment wrapText="1"/>
    </xf>
    <xf numFmtId="0" fontId="12" fillId="0" borderId="6" xfId="0" applyFont="1" applyBorder="1" applyAlignment="1">
      <alignment horizontal="left" vertical="top"/>
    </xf>
    <xf numFmtId="0" fontId="8" fillId="0" borderId="2" xfId="0" applyFont="1" applyBorder="1" applyAlignment="1">
      <alignment horizontal="center" vertical="top" wrapText="1"/>
    </xf>
    <xf numFmtId="0" fontId="12" fillId="0" borderId="20" xfId="0" applyFont="1" applyBorder="1" applyAlignment="1">
      <alignment vertical="top" wrapText="1"/>
    </xf>
    <xf numFmtId="0" fontId="14" fillId="0" borderId="6" xfId="0" applyFont="1" applyBorder="1" applyAlignment="1">
      <alignment horizontal="left" vertical="top" wrapText="1"/>
    </xf>
    <xf numFmtId="0" fontId="16" fillId="0" borderId="13" xfId="0" applyFont="1" applyBorder="1" applyAlignment="1">
      <alignment horizontal="left" vertical="top" wrapText="1"/>
    </xf>
    <xf numFmtId="0" fontId="12" fillId="0" borderId="20" xfId="0" applyFont="1" applyBorder="1" applyAlignment="1">
      <alignment horizontal="center" vertical="center" wrapText="1"/>
    </xf>
    <xf numFmtId="0" fontId="4" fillId="8" borderId="20" xfId="0" applyFont="1" applyFill="1" applyBorder="1" applyAlignment="1">
      <alignment horizontal="center" vertical="center" wrapText="1"/>
    </xf>
    <xf numFmtId="0" fontId="14" fillId="0" borderId="6" xfId="0" applyFont="1" applyBorder="1" applyAlignment="1">
      <alignment vertical="top" wrapText="1"/>
    </xf>
    <xf numFmtId="0" fontId="7" fillId="8" borderId="2" xfId="0" applyFont="1" applyFill="1" applyBorder="1" applyAlignment="1">
      <alignment horizontal="center" vertical="center" wrapText="1"/>
    </xf>
    <xf numFmtId="0" fontId="0" fillId="0" borderId="41" xfId="0" applyBorder="1" applyAlignment="1">
      <alignment horizontal="center" vertical="center"/>
    </xf>
    <xf numFmtId="0" fontId="23" fillId="0" borderId="2" xfId="0" applyFont="1" applyBorder="1" applyAlignment="1">
      <alignment vertical="top" wrapText="1"/>
    </xf>
    <xf numFmtId="0" fontId="17" fillId="8" borderId="20" xfId="0" applyFont="1" applyFill="1" applyBorder="1" applyAlignment="1">
      <alignment horizontal="center" vertical="center" wrapText="1"/>
    </xf>
    <xf numFmtId="0" fontId="17" fillId="12" borderId="22" xfId="0" applyFont="1" applyFill="1" applyBorder="1" applyAlignment="1">
      <alignment horizontal="center" vertical="center" wrapText="1"/>
    </xf>
    <xf numFmtId="0" fontId="17" fillId="8" borderId="6" xfId="0" applyFont="1" applyFill="1" applyBorder="1" applyAlignment="1">
      <alignment horizontal="center" vertical="center" wrapText="1"/>
    </xf>
    <xf numFmtId="0" fontId="17" fillId="0" borderId="4" xfId="0" applyFont="1" applyBorder="1" applyAlignment="1">
      <alignment horizontal="center" vertical="top" wrapText="1"/>
    </xf>
    <xf numFmtId="0" fontId="17" fillId="0" borderId="3" xfId="0" applyFont="1" applyBorder="1" applyAlignment="1">
      <alignment horizontal="center" vertical="top" wrapText="1"/>
    </xf>
    <xf numFmtId="0" fontId="17" fillId="0" borderId="2" xfId="0" applyFont="1" applyBorder="1" applyAlignment="1">
      <alignment horizontal="center" vertical="top" wrapText="1"/>
    </xf>
    <xf numFmtId="0" fontId="12" fillId="8" borderId="2" xfId="0" applyFont="1" applyFill="1" applyBorder="1" applyAlignment="1">
      <alignment horizontal="center" vertical="center" wrapText="1"/>
    </xf>
    <xf numFmtId="0" fontId="12" fillId="0" borderId="4" xfId="0" applyFont="1" applyBorder="1" applyAlignment="1">
      <alignment horizontal="center" vertical="top" wrapText="1"/>
    </xf>
    <xf numFmtId="0" fontId="12" fillId="0" borderId="5" xfId="0" applyFont="1" applyBorder="1" applyAlignment="1">
      <alignment horizontal="center" vertical="top" wrapText="1"/>
    </xf>
    <xf numFmtId="0" fontId="12" fillId="0" borderId="3" xfId="0" applyFont="1" applyBorder="1" applyAlignment="1">
      <alignment horizontal="center" vertical="top" wrapText="1"/>
    </xf>
    <xf numFmtId="0" fontId="13" fillId="0" borderId="6" xfId="0" applyFont="1" applyBorder="1" applyAlignment="1">
      <alignment horizontal="left" vertical="top" wrapText="1"/>
    </xf>
    <xf numFmtId="0" fontId="4" fillId="0" borderId="6"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3" xfId="0" applyFont="1" applyBorder="1" applyAlignment="1">
      <alignment horizontal="center" vertical="center" wrapText="1"/>
    </xf>
    <xf numFmtId="0" fontId="4" fillId="0" borderId="14" xfId="0" applyFont="1" applyBorder="1" applyAlignment="1">
      <alignment horizontal="center" vertical="top" wrapText="1"/>
    </xf>
    <xf numFmtId="0" fontId="4" fillId="0" borderId="17" xfId="0" applyFont="1" applyBorder="1" applyAlignment="1">
      <alignment horizontal="center" vertical="top" wrapText="1"/>
    </xf>
    <xf numFmtId="0" fontId="4" fillId="0" borderId="8" xfId="0" applyFont="1" applyBorder="1" applyAlignment="1">
      <alignment horizontal="center" vertical="top" wrapText="1"/>
    </xf>
    <xf numFmtId="0" fontId="4" fillId="0" borderId="30" xfId="0" applyFont="1" applyBorder="1" applyAlignment="1">
      <alignment horizontal="center" vertical="top" wrapText="1"/>
    </xf>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4" xfId="0" applyFont="1" applyBorder="1" applyAlignment="1">
      <alignment horizontal="center" vertical="top" wrapText="1"/>
    </xf>
    <xf numFmtId="0" fontId="4" fillId="0" borderId="5" xfId="0" applyFont="1" applyBorder="1" applyAlignment="1">
      <alignment horizontal="center" vertical="top" wrapText="1"/>
    </xf>
    <xf numFmtId="0" fontId="4" fillId="0" borderId="3" xfId="0" applyFont="1" applyBorder="1" applyAlignment="1">
      <alignment horizontal="center" vertical="top" wrapText="1"/>
    </xf>
    <xf numFmtId="0" fontId="17" fillId="0" borderId="21" xfId="0" applyFont="1" applyBorder="1" applyAlignment="1">
      <alignment horizontal="left" vertical="top" wrapText="1"/>
    </xf>
    <xf numFmtId="0" fontId="17" fillId="0" borderId="13" xfId="0" applyFont="1" applyBorder="1" applyAlignment="1">
      <alignment horizontal="left" vertical="top" wrapText="1"/>
    </xf>
    <xf numFmtId="0" fontId="17" fillId="0" borderId="20"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20" fillId="0" borderId="21" xfId="0" applyFont="1" applyBorder="1" applyAlignment="1">
      <alignment horizontal="center" vertical="top" wrapText="1"/>
    </xf>
    <xf numFmtId="0" fontId="20" fillId="0" borderId="13" xfId="0" applyFont="1" applyBorder="1" applyAlignment="1">
      <alignment horizontal="center" vertical="top" wrapText="1"/>
    </xf>
    <xf numFmtId="0" fontId="20" fillId="0" borderId="20" xfId="0" applyFont="1" applyBorder="1" applyAlignment="1">
      <alignment horizontal="center" vertical="top" wrapText="1"/>
    </xf>
    <xf numFmtId="0" fontId="4" fillId="0" borderId="6" xfId="0" applyFont="1" applyBorder="1" applyAlignment="1">
      <alignment horizontal="center" vertical="top" wrapText="1"/>
    </xf>
    <xf numFmtId="0" fontId="12" fillId="0" borderId="14" xfId="0" applyFont="1" applyBorder="1" applyAlignment="1">
      <alignment horizontal="center" vertical="top" wrapText="1"/>
    </xf>
    <xf numFmtId="0" fontId="12" fillId="0" borderId="17" xfId="0" applyFont="1" applyBorder="1" applyAlignment="1">
      <alignment horizontal="center" vertical="top" wrapText="1"/>
    </xf>
    <xf numFmtId="0" fontId="12" fillId="0" borderId="8" xfId="0" applyFont="1" applyBorder="1" applyAlignment="1">
      <alignment horizontal="center" vertical="top" wrapText="1"/>
    </xf>
    <xf numFmtId="0" fontId="34" fillId="8" borderId="4" xfId="0" applyFont="1" applyFill="1" applyBorder="1" applyAlignment="1">
      <alignment horizontal="center" vertical="top" wrapText="1"/>
    </xf>
    <xf numFmtId="0" fontId="34" fillId="8" borderId="5" xfId="0" applyFont="1" applyFill="1" applyBorder="1" applyAlignment="1">
      <alignment horizontal="center" vertical="top" wrapText="1"/>
    </xf>
    <xf numFmtId="0" fontId="34" fillId="8" borderId="3" xfId="0" applyFont="1" applyFill="1" applyBorder="1" applyAlignment="1">
      <alignment horizontal="center" vertical="top" wrapText="1"/>
    </xf>
    <xf numFmtId="0" fontId="12" fillId="0" borderId="6" xfId="0" applyFont="1" applyBorder="1" applyAlignment="1">
      <alignment horizontal="left" vertical="top" wrapText="1"/>
    </xf>
    <xf numFmtId="0" fontId="7" fillId="0" borderId="6" xfId="0" applyFont="1" applyBorder="1" applyAlignment="1">
      <alignment horizontal="center" vertical="top" wrapText="1"/>
    </xf>
    <xf numFmtId="0" fontId="4" fillId="0" borderId="21"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2" xfId="0" applyFont="1" applyBorder="1" applyAlignment="1">
      <alignment horizontal="center" vertical="top" wrapText="1"/>
    </xf>
    <xf numFmtId="0" fontId="28" fillId="0" borderId="47" xfId="0" applyFont="1" applyBorder="1" applyAlignment="1">
      <alignment horizontal="center" wrapText="1"/>
    </xf>
    <xf numFmtId="0" fontId="28" fillId="0" borderId="35" xfId="0" applyFont="1" applyBorder="1" applyAlignment="1">
      <alignment horizontal="center" wrapText="1"/>
    </xf>
    <xf numFmtId="0" fontId="28" fillId="0" borderId="47" xfId="0" applyFont="1" applyBorder="1" applyAlignment="1">
      <alignment horizontal="center"/>
    </xf>
    <xf numFmtId="0" fontId="28" fillId="0" borderId="35" xfId="0" applyFont="1" applyBorder="1" applyAlignment="1">
      <alignment horizontal="center"/>
    </xf>
    <xf numFmtId="0" fontId="17" fillId="0" borderId="6" xfId="0" applyFont="1" applyBorder="1" applyAlignment="1">
      <alignment horizontal="left" vertical="top" wrapText="1"/>
    </xf>
    <xf numFmtId="0" fontId="17" fillId="0" borderId="14" xfId="0" applyFont="1" applyBorder="1" applyAlignment="1">
      <alignment horizontal="center" vertical="top" wrapText="1"/>
    </xf>
    <xf numFmtId="0" fontId="17" fillId="0" borderId="17" xfId="0" applyFont="1" applyBorder="1" applyAlignment="1">
      <alignment horizontal="center" vertical="top" wrapText="1"/>
    </xf>
    <xf numFmtId="0" fontId="17" fillId="0" borderId="8" xfId="0" applyFont="1" applyBorder="1" applyAlignment="1">
      <alignment horizontal="center" vertical="top" wrapText="1"/>
    </xf>
    <xf numFmtId="0" fontId="17" fillId="0" borderId="9" xfId="0" applyFont="1" applyBorder="1" applyAlignment="1">
      <alignment horizontal="left" vertical="top" wrapText="1"/>
    </xf>
    <xf numFmtId="0" fontId="6" fillId="0" borderId="6" xfId="0" applyFont="1" applyBorder="1" applyAlignment="1">
      <alignment horizontal="center" vertical="center" wrapText="1"/>
    </xf>
    <xf numFmtId="0" fontId="4" fillId="0" borderId="6" xfId="0" applyFont="1" applyBorder="1" applyAlignment="1">
      <alignment horizontal="left" vertical="top" wrapText="1"/>
    </xf>
    <xf numFmtId="0" fontId="12" fillId="0" borderId="9" xfId="0" applyFont="1" applyBorder="1" applyAlignment="1">
      <alignment horizontal="left" vertical="top" wrapText="1"/>
    </xf>
    <xf numFmtId="0" fontId="17" fillId="0" borderId="6" xfId="0" applyFont="1" applyBorder="1" applyAlignment="1">
      <alignment horizontal="center" vertical="top" wrapText="1"/>
    </xf>
    <xf numFmtId="0" fontId="20" fillId="0" borderId="4" xfId="0" applyFont="1" applyBorder="1" applyAlignment="1">
      <alignment horizontal="center" vertical="top" wrapText="1"/>
    </xf>
    <xf numFmtId="0" fontId="20" fillId="0" borderId="5" xfId="0" applyFont="1" applyBorder="1" applyAlignment="1">
      <alignment horizontal="center" vertical="top" wrapText="1"/>
    </xf>
    <xf numFmtId="0" fontId="20" fillId="0" borderId="3" xfId="0" applyFont="1" applyBorder="1" applyAlignment="1">
      <alignment horizontal="center" vertical="top" wrapText="1"/>
    </xf>
    <xf numFmtId="0" fontId="12" fillId="0" borderId="4" xfId="0" applyFont="1" applyBorder="1" applyAlignment="1">
      <alignment horizontal="left" vertical="top" wrapText="1"/>
    </xf>
    <xf numFmtId="0" fontId="12" fillId="0" borderId="5" xfId="0" applyFont="1" applyBorder="1" applyAlignment="1">
      <alignment horizontal="left" vertical="top" wrapText="1"/>
    </xf>
    <xf numFmtId="0" fontId="12" fillId="0" borderId="3" xfId="0"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3" xfId="0" applyFont="1" applyBorder="1" applyAlignment="1">
      <alignment horizontal="left" vertical="top" wrapText="1"/>
    </xf>
    <xf numFmtId="0" fontId="4" fillId="0" borderId="21" xfId="0" applyFont="1" applyBorder="1" applyAlignment="1">
      <alignment horizontal="left" vertical="top" wrapText="1"/>
    </xf>
    <xf numFmtId="0" fontId="4" fillId="0" borderId="13" xfId="0" applyFont="1" applyBorder="1" applyAlignment="1">
      <alignment horizontal="left" vertical="top" wrapText="1"/>
    </xf>
    <xf numFmtId="0" fontId="4" fillId="0" borderId="14" xfId="0" applyFont="1" applyBorder="1" applyAlignment="1">
      <alignment horizontal="left" vertical="top" wrapText="1"/>
    </xf>
    <xf numFmtId="0" fontId="17" fillId="8" borderId="4" xfId="0" applyFont="1" applyFill="1" applyBorder="1" applyAlignment="1">
      <alignment horizontal="center" vertical="top" wrapText="1"/>
    </xf>
    <xf numFmtId="0" fontId="17" fillId="8" borderId="5" xfId="0" applyFont="1" applyFill="1" applyBorder="1" applyAlignment="1">
      <alignment horizontal="center" vertical="top" wrapText="1"/>
    </xf>
    <xf numFmtId="0" fontId="17" fillId="8" borderId="3" xfId="0" applyFont="1" applyFill="1" applyBorder="1" applyAlignment="1">
      <alignment horizontal="center" vertical="top" wrapText="1"/>
    </xf>
    <xf numFmtId="0" fontId="7" fillId="0" borderId="6" xfId="0" applyFont="1" applyBorder="1" applyAlignment="1">
      <alignment horizontal="left" vertical="top" wrapText="1"/>
    </xf>
    <xf numFmtId="0" fontId="7" fillId="0" borderId="9" xfId="0" applyFont="1" applyBorder="1" applyAlignment="1">
      <alignment horizontal="left" vertical="top" wrapText="1"/>
    </xf>
    <xf numFmtId="0" fontId="7" fillId="0" borderId="4" xfId="0" applyFont="1" applyBorder="1" applyAlignment="1">
      <alignment horizontal="left" vertical="top" wrapText="1"/>
    </xf>
    <xf numFmtId="0" fontId="7" fillId="0" borderId="5" xfId="0" applyFont="1" applyBorder="1" applyAlignment="1">
      <alignment horizontal="left" vertical="top" wrapText="1"/>
    </xf>
    <xf numFmtId="0" fontId="7" fillId="0" borderId="3" xfId="0" applyFont="1" applyBorder="1" applyAlignment="1">
      <alignment horizontal="left" vertical="top" wrapText="1"/>
    </xf>
    <xf numFmtId="0" fontId="7" fillId="8" borderId="10" xfId="0" applyFont="1" applyFill="1" applyBorder="1" applyAlignment="1">
      <alignment horizontal="center" vertical="center" wrapText="1"/>
    </xf>
    <xf numFmtId="0" fontId="7" fillId="8" borderId="11" xfId="0" applyFont="1" applyFill="1" applyBorder="1" applyAlignment="1">
      <alignment horizontal="center" vertical="center" wrapText="1"/>
    </xf>
    <xf numFmtId="0" fontId="7" fillId="8" borderId="12" xfId="0" applyFont="1" applyFill="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32"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20" xfId="0" applyFont="1" applyBorder="1" applyAlignment="1">
      <alignment horizontal="center" vertical="center" wrapText="1"/>
    </xf>
    <xf numFmtId="0" fontId="7" fillId="8" borderId="10" xfId="0" applyFont="1" applyFill="1" applyBorder="1" applyAlignment="1">
      <alignment horizontal="left" vertical="top" wrapText="1"/>
    </xf>
    <xf numFmtId="0" fontId="7" fillId="8" borderId="11" xfId="0" applyFont="1" applyFill="1" applyBorder="1" applyAlignment="1">
      <alignment horizontal="left" vertical="top" wrapText="1"/>
    </xf>
    <xf numFmtId="0" fontId="7" fillId="8" borderId="12" xfId="0" applyFont="1" applyFill="1" applyBorder="1" applyAlignment="1">
      <alignment horizontal="left" vertical="top" wrapText="1"/>
    </xf>
    <xf numFmtId="0" fontId="17" fillId="8" borderId="30" xfId="0" applyFont="1" applyFill="1" applyBorder="1" applyAlignment="1">
      <alignment wrapText="1"/>
    </xf>
    <xf numFmtId="0" fontId="17" fillId="8" borderId="17" xfId="0" applyFont="1" applyFill="1" applyBorder="1" applyAlignment="1">
      <alignment wrapText="1"/>
    </xf>
    <xf numFmtId="0" fontId="17" fillId="8" borderId="8" xfId="0" applyFont="1" applyFill="1" applyBorder="1" applyAlignment="1">
      <alignment wrapText="1"/>
    </xf>
    <xf numFmtId="0" fontId="8" fillId="8" borderId="30" xfId="0" applyFont="1" applyFill="1" applyBorder="1" applyAlignment="1">
      <alignment horizontal="center" wrapText="1"/>
    </xf>
    <xf numFmtId="0" fontId="8" fillId="8" borderId="17" xfId="0" applyFont="1" applyFill="1" applyBorder="1" applyAlignment="1">
      <alignment horizontal="center" wrapText="1"/>
    </xf>
    <xf numFmtId="0" fontId="8" fillId="8" borderId="8" xfId="0" applyFont="1" applyFill="1" applyBorder="1" applyAlignment="1">
      <alignment horizontal="center" wrapText="1"/>
    </xf>
    <xf numFmtId="0" fontId="6" fillId="0" borderId="14" xfId="0" applyFont="1" applyBorder="1" applyAlignment="1">
      <alignment horizontal="center" vertical="top" wrapText="1"/>
    </xf>
    <xf numFmtId="0" fontId="6" fillId="0" borderId="17" xfId="0" applyFont="1" applyBorder="1" applyAlignment="1">
      <alignment horizontal="center" vertical="top" wrapText="1"/>
    </xf>
    <xf numFmtId="0" fontId="6" fillId="0" borderId="8" xfId="0" applyFont="1" applyBorder="1" applyAlignment="1">
      <alignment horizontal="center" vertical="top" wrapText="1"/>
    </xf>
    <xf numFmtId="0" fontId="12" fillId="0" borderId="21" xfId="0" applyFont="1" applyBorder="1" applyAlignment="1">
      <alignment horizontal="left" vertical="top" wrapText="1"/>
    </xf>
    <xf numFmtId="0" fontId="12" fillId="0" borderId="13" xfId="0" applyFont="1" applyBorder="1" applyAlignment="1">
      <alignment horizontal="left" vertical="top" wrapText="1"/>
    </xf>
    <xf numFmtId="0" fontId="12" fillId="0" borderId="20" xfId="0" applyFont="1" applyBorder="1" applyAlignment="1">
      <alignment horizontal="left" vertical="top" wrapText="1"/>
    </xf>
    <xf numFmtId="0" fontId="17" fillId="0" borderId="14" xfId="0" applyFont="1" applyBorder="1" applyAlignment="1">
      <alignment horizontal="left" vertical="top" wrapText="1"/>
    </xf>
    <xf numFmtId="0" fontId="17" fillId="0" borderId="17" xfId="0" applyFont="1" applyBorder="1" applyAlignment="1">
      <alignment horizontal="left" vertical="top" wrapText="1"/>
    </xf>
    <xf numFmtId="0" fontId="17" fillId="0" borderId="8" xfId="0" applyFont="1" applyBorder="1" applyAlignment="1">
      <alignment horizontal="left" vertical="top" wrapText="1"/>
    </xf>
    <xf numFmtId="0" fontId="17" fillId="0" borderId="4" xfId="0" applyFont="1" applyBorder="1" applyAlignment="1">
      <alignment horizontal="left" vertical="top" wrapText="1"/>
    </xf>
    <xf numFmtId="0" fontId="17" fillId="0" borderId="5" xfId="0" applyFont="1" applyBorder="1" applyAlignment="1">
      <alignment horizontal="left" vertical="top" wrapText="1"/>
    </xf>
    <xf numFmtId="0" fontId="17" fillId="0" borderId="3" xfId="0" applyFont="1" applyBorder="1" applyAlignment="1">
      <alignment horizontal="left" vertical="top" wrapText="1"/>
    </xf>
    <xf numFmtId="0" fontId="17" fillId="11" borderId="4" xfId="0" applyFont="1" applyFill="1" applyBorder="1" applyAlignment="1">
      <alignment horizontal="left" vertical="top" wrapText="1"/>
    </xf>
    <xf numFmtId="0" fontId="17" fillId="11" borderId="5" xfId="0" applyFont="1" applyFill="1" applyBorder="1" applyAlignment="1">
      <alignment horizontal="left" vertical="top" wrapText="1"/>
    </xf>
    <xf numFmtId="0" fontId="17" fillId="11" borderId="3" xfId="0" applyFont="1" applyFill="1" applyBorder="1" applyAlignment="1">
      <alignment horizontal="left" vertical="top" wrapText="1"/>
    </xf>
    <xf numFmtId="0" fontId="17" fillId="0" borderId="5" xfId="0" applyFont="1" applyBorder="1" applyAlignment="1">
      <alignment horizontal="center" vertical="top" wrapText="1"/>
    </xf>
    <xf numFmtId="0" fontId="17" fillId="0" borderId="37" xfId="0" applyFont="1" applyBorder="1" applyAlignment="1">
      <alignment horizontal="left" vertical="top" wrapText="1"/>
    </xf>
    <xf numFmtId="0" fontId="4" fillId="0" borderId="21" xfId="0" applyFont="1" applyBorder="1" applyAlignment="1">
      <alignment horizontal="center" vertical="top" wrapText="1"/>
    </xf>
    <xf numFmtId="0" fontId="4" fillId="0" borderId="13" xfId="0" applyFont="1" applyBorder="1" applyAlignment="1">
      <alignment horizontal="center" vertical="top" wrapText="1"/>
    </xf>
    <xf numFmtId="0" fontId="4" fillId="0" borderId="20" xfId="0" applyFont="1" applyBorder="1" applyAlignment="1">
      <alignment horizontal="center" vertical="top" wrapText="1"/>
    </xf>
    <xf numFmtId="0" fontId="20" fillId="0" borderId="4" xfId="0" applyFont="1" applyBorder="1" applyAlignment="1">
      <alignment horizontal="left" vertical="top" wrapText="1"/>
    </xf>
    <xf numFmtId="0" fontId="20" fillId="0" borderId="5" xfId="0" applyFont="1" applyBorder="1" applyAlignment="1">
      <alignment horizontal="left" vertical="top" wrapText="1"/>
    </xf>
    <xf numFmtId="0" fontId="20" fillId="0" borderId="3" xfId="0" applyFont="1" applyBorder="1" applyAlignment="1">
      <alignment horizontal="left" vertical="top" wrapText="1"/>
    </xf>
    <xf numFmtId="0" fontId="20" fillId="0" borderId="37" xfId="0" applyFont="1" applyBorder="1" applyAlignment="1">
      <alignment horizontal="left" vertical="top" wrapText="1"/>
    </xf>
    <xf numFmtId="0" fontId="8" fillId="8" borderId="4" xfId="0" applyFont="1" applyFill="1" applyBorder="1" applyAlignment="1">
      <alignment horizontal="center" vertical="top" wrapText="1"/>
    </xf>
    <xf numFmtId="0" fontId="8" fillId="8" borderId="5" xfId="0" applyFont="1" applyFill="1" applyBorder="1" applyAlignment="1">
      <alignment horizontal="center" vertical="top" wrapText="1"/>
    </xf>
    <xf numFmtId="0" fontId="8" fillId="8" borderId="3" xfId="0" applyFont="1" applyFill="1" applyBorder="1" applyAlignment="1">
      <alignment horizontal="center" vertical="top" wrapText="1"/>
    </xf>
    <xf numFmtId="0" fontId="12" fillId="0" borderId="2" xfId="0" applyFont="1" applyBorder="1" applyAlignment="1">
      <alignment horizontal="center" vertical="top" wrapText="1"/>
    </xf>
    <xf numFmtId="0" fontId="34" fillId="0" borderId="4" xfId="0" applyFont="1" applyBorder="1" applyAlignment="1">
      <alignment horizontal="left" vertical="top" wrapText="1"/>
    </xf>
    <xf numFmtId="0" fontId="8" fillId="8" borderId="23" xfId="0" applyFont="1" applyFill="1" applyBorder="1" applyAlignment="1">
      <alignment horizontal="center" vertical="top" wrapText="1"/>
    </xf>
    <xf numFmtId="0" fontId="8" fillId="8" borderId="24" xfId="0" applyFont="1" applyFill="1" applyBorder="1" applyAlignment="1">
      <alignment horizontal="center" vertical="top" wrapText="1"/>
    </xf>
    <xf numFmtId="0" fontId="8" fillId="8" borderId="25" xfId="0" applyFont="1" applyFill="1" applyBorder="1" applyAlignment="1">
      <alignment horizontal="center" vertical="top" wrapText="1"/>
    </xf>
    <xf numFmtId="0" fontId="8" fillId="8" borderId="2" xfId="0" applyFont="1" applyFill="1" applyBorder="1" applyAlignment="1">
      <alignment horizontal="center" vertical="top" wrapText="1"/>
    </xf>
    <xf numFmtId="0" fontId="12" fillId="8" borderId="9" xfId="0" applyFont="1" applyFill="1" applyBorder="1" applyAlignment="1">
      <alignment horizontal="left" vertical="top" wrapText="1"/>
    </xf>
    <xf numFmtId="0" fontId="8" fillId="0" borderId="4" xfId="0" applyFont="1" applyBorder="1" applyAlignment="1">
      <alignment wrapText="1"/>
    </xf>
    <xf numFmtId="0" fontId="8" fillId="0" borderId="5" xfId="0" applyFont="1" applyBorder="1" applyAlignment="1">
      <alignment wrapText="1"/>
    </xf>
    <xf numFmtId="0" fontId="8" fillId="0" borderId="3" xfId="0" applyFont="1" applyBorder="1" applyAlignment="1">
      <alignment wrapText="1"/>
    </xf>
    <xf numFmtId="0" fontId="8" fillId="0" borderId="2"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8" xfId="0" applyFont="1" applyBorder="1" applyAlignment="1">
      <alignment horizontal="center" vertical="center" wrapText="1"/>
    </xf>
    <xf numFmtId="0" fontId="8" fillId="0" borderId="2" xfId="0" applyFont="1" applyBorder="1" applyAlignment="1">
      <alignment horizontal="center" vertical="top" wrapText="1"/>
    </xf>
    <xf numFmtId="0" fontId="12" fillId="0" borderId="6" xfId="0" applyFont="1" applyBorder="1" applyAlignment="1">
      <alignment horizontal="center" vertical="center" wrapText="1"/>
    </xf>
    <xf numFmtId="0" fontId="12" fillId="8" borderId="6" xfId="0" applyFont="1" applyFill="1" applyBorder="1" applyAlignment="1">
      <alignment horizontal="left" vertical="top" wrapText="1"/>
    </xf>
    <xf numFmtId="0" fontId="7" fillId="8" borderId="6" xfId="0" applyFont="1" applyFill="1" applyBorder="1" applyAlignment="1">
      <alignment horizontal="center" vertical="center" wrapText="1"/>
    </xf>
    <xf numFmtId="0" fontId="7" fillId="0" borderId="4" xfId="0" applyFont="1" applyBorder="1" applyAlignment="1">
      <alignment vertical="top" wrapText="1"/>
    </xf>
    <xf numFmtId="0" fontId="7" fillId="0" borderId="5" xfId="0" applyFont="1" applyBorder="1" applyAlignment="1">
      <alignment vertical="top" wrapText="1"/>
    </xf>
    <xf numFmtId="0" fontId="7" fillId="0" borderId="3" xfId="0" applyFont="1" applyBorder="1" applyAlignment="1">
      <alignment vertical="top" wrapText="1"/>
    </xf>
    <xf numFmtId="0" fontId="8" fillId="0" borderId="4" xfId="0" applyFont="1" applyBorder="1" applyAlignment="1">
      <alignment vertical="top" wrapText="1"/>
    </xf>
    <xf numFmtId="0" fontId="8" fillId="0" borderId="5" xfId="0" applyFont="1" applyBorder="1" applyAlignment="1">
      <alignment vertical="top" wrapText="1"/>
    </xf>
    <xf numFmtId="0" fontId="8" fillId="0" borderId="3" xfId="0" applyFont="1" applyBorder="1" applyAlignment="1">
      <alignment vertical="top" wrapText="1"/>
    </xf>
    <xf numFmtId="0" fontId="4" fillId="8" borderId="4" xfId="0" applyFont="1" applyFill="1" applyBorder="1" applyAlignment="1">
      <alignment horizontal="center" vertical="center" wrapText="1"/>
    </xf>
    <xf numFmtId="0" fontId="4" fillId="8" borderId="5" xfId="0" applyFont="1" applyFill="1" applyBorder="1" applyAlignment="1">
      <alignment horizontal="center" vertical="center" wrapText="1"/>
    </xf>
    <xf numFmtId="0" fontId="4" fillId="8" borderId="3" xfId="0" applyFont="1" applyFill="1" applyBorder="1" applyAlignment="1">
      <alignment horizontal="center" vertical="center" wrapText="1"/>
    </xf>
    <xf numFmtId="0" fontId="12" fillId="0" borderId="6" xfId="0" applyFont="1" applyBorder="1" applyAlignment="1">
      <alignment horizontal="center" vertical="top" wrapText="1"/>
    </xf>
    <xf numFmtId="0" fontId="34" fillId="0" borderId="4" xfId="0" applyFont="1" applyBorder="1" applyAlignment="1">
      <alignment horizontal="center" vertical="center" wrapText="1"/>
    </xf>
    <xf numFmtId="0" fontId="34" fillId="0" borderId="5" xfId="0" applyFont="1" applyBorder="1" applyAlignment="1">
      <alignment horizontal="center" vertical="center" wrapText="1"/>
    </xf>
    <xf numFmtId="0" fontId="34" fillId="0" borderId="3" xfId="0" applyFont="1" applyBorder="1" applyAlignment="1">
      <alignment horizontal="center" vertical="center" wrapText="1"/>
    </xf>
    <xf numFmtId="0" fontId="4" fillId="0" borderId="9" xfId="0" applyFont="1" applyBorder="1" applyAlignment="1">
      <alignment vertical="top" wrapText="1"/>
    </xf>
    <xf numFmtId="0" fontId="12" fillId="0" borderId="21" xfId="0" applyFont="1" applyBorder="1" applyAlignment="1">
      <alignment horizontal="center" wrapText="1"/>
    </xf>
    <xf numFmtId="0" fontId="12" fillId="0" borderId="13" xfId="0" applyFont="1" applyBorder="1" applyAlignment="1">
      <alignment horizontal="center" wrapText="1"/>
    </xf>
    <xf numFmtId="0" fontId="12" fillId="0" borderId="20" xfId="0" applyFont="1" applyBorder="1" applyAlignment="1">
      <alignment horizontal="center" wrapText="1"/>
    </xf>
    <xf numFmtId="0" fontId="12" fillId="0" borderId="4" xfId="0" applyFont="1" applyBorder="1" applyAlignment="1">
      <alignment horizontal="center" wrapText="1"/>
    </xf>
    <xf numFmtId="0" fontId="12" fillId="0" borderId="5" xfId="0" applyFont="1" applyBorder="1" applyAlignment="1">
      <alignment horizontal="center" wrapText="1"/>
    </xf>
    <xf numFmtId="0" fontId="12" fillId="0" borderId="3" xfId="0" applyFont="1" applyBorder="1" applyAlignment="1">
      <alignment horizontal="center" wrapText="1"/>
    </xf>
    <xf numFmtId="0" fontId="0" fillId="0" borderId="2" xfId="0" applyBorder="1" applyAlignment="1">
      <alignment horizontal="center"/>
    </xf>
    <xf numFmtId="0" fontId="26" fillId="0" borderId="6" xfId="0" applyFont="1" applyBorder="1" applyAlignment="1">
      <alignment horizontal="center" vertical="center"/>
    </xf>
    <xf numFmtId="0" fontId="13" fillId="12" borderId="6" xfId="0" applyFont="1" applyFill="1" applyBorder="1" applyAlignment="1">
      <alignment horizontal="left" vertical="top"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wrapText="1"/>
    </xf>
    <xf numFmtId="0" fontId="12" fillId="0" borderId="5" xfId="0" applyFont="1" applyBorder="1" applyAlignment="1">
      <alignment wrapText="1"/>
    </xf>
    <xf numFmtId="0" fontId="12" fillId="0" borderId="3" xfId="0" applyFont="1" applyBorder="1" applyAlignment="1">
      <alignment wrapText="1"/>
    </xf>
    <xf numFmtId="0" fontId="0" fillId="0" borderId="8" xfId="0" applyBorder="1" applyAlignment="1">
      <alignment horizontal="center" vertical="top"/>
    </xf>
    <xf numFmtId="0" fontId="0" fillId="0" borderId="6" xfId="0" applyBorder="1" applyAlignment="1">
      <alignment horizontal="center" vertical="top"/>
    </xf>
    <xf numFmtId="0" fontId="0" fillId="0" borderId="20" xfId="0" applyBorder="1" applyAlignment="1">
      <alignment horizontal="center"/>
    </xf>
    <xf numFmtId="0" fontId="0" fillId="0" borderId="22" xfId="0" applyBorder="1" applyAlignment="1">
      <alignment horizontal="center"/>
    </xf>
    <xf numFmtId="0" fontId="12" fillId="8" borderId="14" xfId="0" applyFont="1" applyFill="1" applyBorder="1" applyAlignment="1">
      <alignment horizontal="left" vertical="top" wrapText="1"/>
    </xf>
    <xf numFmtId="0" fontId="12" fillId="8" borderId="17" xfId="0" applyFont="1" applyFill="1" applyBorder="1" applyAlignment="1">
      <alignment horizontal="left" vertical="top" wrapText="1"/>
    </xf>
    <xf numFmtId="0" fontId="12" fillId="8" borderId="8" xfId="0" applyFont="1" applyFill="1" applyBorder="1" applyAlignment="1">
      <alignment horizontal="left" vertical="top" wrapText="1"/>
    </xf>
    <xf numFmtId="0" fontId="28" fillId="0" borderId="14" xfId="0" applyFont="1" applyBorder="1" applyAlignment="1">
      <alignment horizontal="center" wrapText="1"/>
    </xf>
    <xf numFmtId="0" fontId="28" fillId="0" borderId="17" xfId="0" applyFont="1" applyBorder="1" applyAlignment="1">
      <alignment horizontal="center" wrapText="1"/>
    </xf>
    <xf numFmtId="0" fontId="28" fillId="0" borderId="8" xfId="0" applyFont="1" applyBorder="1" applyAlignment="1">
      <alignment horizontal="center" wrapText="1"/>
    </xf>
    <xf numFmtId="0" fontId="0" fillId="0" borderId="3" xfId="0" applyBorder="1" applyAlignment="1">
      <alignment horizontal="center"/>
    </xf>
    <xf numFmtId="0" fontId="16" fillId="0" borderId="9" xfId="0" applyFont="1" applyBorder="1" applyAlignment="1">
      <alignment horizontal="left" vertical="top" wrapText="1"/>
    </xf>
    <xf numFmtId="0" fontId="4" fillId="0" borderId="43" xfId="0" applyFont="1" applyBorder="1" applyAlignment="1">
      <alignment horizontal="left" vertical="top" wrapText="1"/>
    </xf>
    <xf numFmtId="0" fontId="28" fillId="0" borderId="14" xfId="0" applyFont="1" applyBorder="1" applyAlignment="1">
      <alignment horizontal="center"/>
    </xf>
    <xf numFmtId="0" fontId="28" fillId="0" borderId="17" xfId="0" applyFont="1" applyBorder="1" applyAlignment="1">
      <alignment horizontal="center"/>
    </xf>
    <xf numFmtId="0" fontId="28" fillId="0" borderId="8" xfId="0" applyFont="1" applyBorder="1" applyAlignment="1">
      <alignment horizontal="center"/>
    </xf>
    <xf numFmtId="0" fontId="17" fillId="0" borderId="6" xfId="0" applyFont="1" applyBorder="1" applyAlignment="1">
      <alignment horizontal="left" vertical="top"/>
    </xf>
    <xf numFmtId="0" fontId="7" fillId="0" borderId="17" xfId="0" applyFont="1" applyBorder="1" applyAlignment="1">
      <alignment horizontal="center" vertical="top" wrapText="1"/>
    </xf>
    <xf numFmtId="0" fontId="7" fillId="0" borderId="8" xfId="0" applyFont="1" applyBorder="1" applyAlignment="1">
      <alignment horizontal="center" vertical="top" wrapText="1"/>
    </xf>
    <xf numFmtId="0" fontId="7" fillId="0" borderId="14" xfId="0" applyFont="1" applyBorder="1" applyAlignment="1">
      <alignment horizontal="left" vertical="top" wrapText="1"/>
    </xf>
    <xf numFmtId="0" fontId="7" fillId="0" borderId="15" xfId="0" applyFont="1" applyBorder="1" applyAlignment="1">
      <alignment horizontal="left" vertical="top" wrapText="1"/>
    </xf>
    <xf numFmtId="0" fontId="4" fillId="8" borderId="10" xfId="0" applyFont="1" applyFill="1" applyBorder="1" applyAlignment="1">
      <alignment horizontal="center" vertical="center" wrapText="1"/>
    </xf>
    <xf numFmtId="0" fontId="4" fillId="8" borderId="11" xfId="0" applyFont="1" applyFill="1" applyBorder="1" applyAlignment="1">
      <alignment horizontal="center" vertical="center" wrapText="1"/>
    </xf>
    <xf numFmtId="0" fontId="4" fillId="8" borderId="12" xfId="0" applyFont="1" applyFill="1" applyBorder="1" applyAlignment="1">
      <alignment horizontal="center" vertical="center" wrapText="1"/>
    </xf>
    <xf numFmtId="0" fontId="12" fillId="0" borderId="6" xfId="0" applyFont="1" applyBorder="1" applyAlignment="1" applyProtection="1">
      <alignment horizontal="left" vertical="top" wrapText="1"/>
      <protection locked="0"/>
    </xf>
    <xf numFmtId="0" fontId="7" fillId="8" borderId="6" xfId="0" applyFont="1" applyFill="1" applyBorder="1" applyAlignment="1">
      <alignment horizontal="center" vertical="top" wrapText="1"/>
    </xf>
    <xf numFmtId="0" fontId="12" fillId="8" borderId="6" xfId="0" applyFont="1" applyFill="1" applyBorder="1" applyAlignment="1" applyProtection="1">
      <alignment horizontal="left" vertical="top" wrapText="1"/>
      <protection locked="0"/>
    </xf>
    <xf numFmtId="0" fontId="7" fillId="8" borderId="21" xfId="0" applyFont="1" applyFill="1" applyBorder="1" applyAlignment="1">
      <alignment horizontal="center" vertical="center" wrapText="1"/>
    </xf>
    <xf numFmtId="0" fontId="7" fillId="8" borderId="13" xfId="0" applyFont="1" applyFill="1" applyBorder="1" applyAlignment="1">
      <alignment horizontal="center" vertical="center" wrapText="1"/>
    </xf>
    <xf numFmtId="0" fontId="7" fillId="8" borderId="20" xfId="0" applyFont="1" applyFill="1" applyBorder="1" applyAlignment="1">
      <alignment horizontal="center" vertical="center" wrapText="1"/>
    </xf>
    <xf numFmtId="0" fontId="7" fillId="8" borderId="6" xfId="0" applyFont="1" applyFill="1" applyBorder="1" applyAlignment="1">
      <alignment horizontal="left" vertical="top" wrapText="1"/>
    </xf>
    <xf numFmtId="0" fontId="7" fillId="8" borderId="21" xfId="0" applyFont="1" applyFill="1" applyBorder="1" applyAlignment="1">
      <alignment horizontal="center" vertical="top" wrapText="1"/>
    </xf>
    <xf numFmtId="0" fontId="7" fillId="8" borderId="13" xfId="0" applyFont="1" applyFill="1" applyBorder="1" applyAlignment="1">
      <alignment horizontal="center" vertical="top" wrapText="1"/>
    </xf>
    <xf numFmtId="0" fontId="7" fillId="8" borderId="20" xfId="0" applyFont="1" applyFill="1" applyBorder="1" applyAlignment="1">
      <alignment horizontal="center" vertical="top" wrapText="1"/>
    </xf>
    <xf numFmtId="0" fontId="7" fillId="8" borderId="10" xfId="0" applyFont="1" applyFill="1" applyBorder="1" applyAlignment="1">
      <alignment horizontal="center" vertical="top" wrapText="1"/>
    </xf>
    <xf numFmtId="0" fontId="7" fillId="8" borderId="11" xfId="0" applyFont="1" applyFill="1" applyBorder="1" applyAlignment="1">
      <alignment horizontal="center" vertical="top" wrapText="1"/>
    </xf>
    <xf numFmtId="0" fontId="7" fillId="8" borderId="12" xfId="0" applyFont="1" applyFill="1" applyBorder="1" applyAlignment="1">
      <alignment horizontal="center" vertical="top" wrapText="1"/>
    </xf>
    <xf numFmtId="0" fontId="4" fillId="8" borderId="10" xfId="0" applyFont="1" applyFill="1" applyBorder="1" applyAlignment="1">
      <alignment horizontal="center" vertical="top" wrapText="1"/>
    </xf>
    <xf numFmtId="0" fontId="4" fillId="8" borderId="11" xfId="0" applyFont="1" applyFill="1" applyBorder="1" applyAlignment="1">
      <alignment horizontal="center" vertical="top" wrapText="1"/>
    </xf>
    <xf numFmtId="0" fontId="4" fillId="8" borderId="12" xfId="0" applyFont="1" applyFill="1" applyBorder="1" applyAlignment="1">
      <alignment horizontal="center" vertical="top" wrapText="1"/>
    </xf>
    <xf numFmtId="0" fontId="12" fillId="0" borderId="14" xfId="0" applyFont="1" applyBorder="1" applyAlignment="1">
      <alignment horizontal="center" wrapText="1"/>
    </xf>
    <xf numFmtId="0" fontId="12" fillId="0" borderId="17" xfId="0" applyFont="1" applyBorder="1" applyAlignment="1">
      <alignment horizontal="center" wrapText="1"/>
    </xf>
    <xf numFmtId="0" fontId="12" fillId="0" borderId="8" xfId="0" applyFont="1" applyBorder="1" applyAlignment="1">
      <alignment horizontal="center" wrapText="1"/>
    </xf>
    <xf numFmtId="0" fontId="12" fillId="0" borderId="14" xfId="0" applyFont="1" applyBorder="1" applyAlignment="1">
      <alignment horizontal="left" vertical="top" wrapText="1"/>
    </xf>
    <xf numFmtId="0" fontId="12" fillId="0" borderId="17" xfId="0" applyFont="1" applyBorder="1" applyAlignment="1">
      <alignment horizontal="left" vertical="top" wrapText="1"/>
    </xf>
    <xf numFmtId="0" fontId="12" fillId="0" borderId="8" xfId="0" applyFont="1" applyBorder="1" applyAlignment="1">
      <alignment horizontal="left" vertical="top" wrapText="1"/>
    </xf>
    <xf numFmtId="0" fontId="12" fillId="0" borderId="6" xfId="0" applyFont="1" applyBorder="1" applyAlignment="1">
      <alignment horizontal="left" vertical="top"/>
    </xf>
    <xf numFmtId="0" fontId="12" fillId="0" borderId="15" xfId="0" applyFont="1" applyBorder="1" applyAlignment="1">
      <alignment wrapText="1"/>
    </xf>
    <xf numFmtId="0" fontId="12" fillId="0" borderId="16" xfId="0" applyFont="1" applyBorder="1" applyAlignment="1">
      <alignment wrapText="1"/>
    </xf>
    <xf numFmtId="0" fontId="12" fillId="0" borderId="7" xfId="0" applyFont="1" applyBorder="1" applyAlignment="1">
      <alignment wrapText="1"/>
    </xf>
    <xf numFmtId="0" fontId="17" fillId="8" borderId="4" xfId="0" applyFont="1" applyFill="1" applyBorder="1" applyAlignment="1">
      <alignment horizontal="center" wrapText="1"/>
    </xf>
    <xf numFmtId="0" fontId="17" fillId="8" borderId="5" xfId="0" applyFont="1" applyFill="1" applyBorder="1" applyAlignment="1">
      <alignment horizontal="center" wrapText="1"/>
    </xf>
    <xf numFmtId="0" fontId="17" fillId="8" borderId="3" xfId="0" applyFont="1" applyFill="1" applyBorder="1" applyAlignment="1">
      <alignment horizontal="center" wrapText="1"/>
    </xf>
    <xf numFmtId="0" fontId="17" fillId="8" borderId="32" xfId="0" applyFont="1" applyFill="1" applyBorder="1" applyAlignment="1">
      <alignment horizontal="center" wrapText="1"/>
    </xf>
    <xf numFmtId="0" fontId="17" fillId="8" borderId="16" xfId="0" applyFont="1" applyFill="1" applyBorder="1" applyAlignment="1">
      <alignment horizontal="center" wrapText="1"/>
    </xf>
    <xf numFmtId="0" fontId="17" fillId="8" borderId="7" xfId="0" applyFont="1" applyFill="1" applyBorder="1" applyAlignment="1">
      <alignment horizontal="center" wrapText="1"/>
    </xf>
    <xf numFmtId="0" fontId="17" fillId="8" borderId="30" xfId="0" applyFont="1" applyFill="1" applyBorder="1" applyAlignment="1">
      <alignment horizontal="center" vertical="center" wrapText="1"/>
    </xf>
    <xf numFmtId="0" fontId="17" fillId="8" borderId="17" xfId="0" applyFont="1" applyFill="1" applyBorder="1" applyAlignment="1">
      <alignment horizontal="center" vertical="center" wrapText="1"/>
    </xf>
    <xf numFmtId="0" fontId="17" fillId="8" borderId="8" xfId="0" applyFont="1" applyFill="1" applyBorder="1" applyAlignment="1">
      <alignment horizontal="center" vertical="center" wrapText="1"/>
    </xf>
    <xf numFmtId="0" fontId="8" fillId="0" borderId="5" xfId="0" applyFont="1" applyBorder="1" applyAlignment="1">
      <alignment horizontal="center" vertical="top" wrapText="1"/>
    </xf>
    <xf numFmtId="0" fontId="8" fillId="0" borderId="37" xfId="0" applyFont="1" applyBorder="1" applyAlignment="1">
      <alignment horizontal="center" vertical="top"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3" xfId="0" applyFont="1" applyBorder="1" applyAlignment="1">
      <alignment horizontal="center" vertical="center" wrapText="1"/>
    </xf>
    <xf numFmtId="0" fontId="7" fillId="0" borderId="18" xfId="0" applyFont="1" applyBorder="1" applyAlignment="1">
      <alignment horizontal="center" wrapText="1"/>
    </xf>
    <xf numFmtId="0" fontId="7" fillId="0" borderId="5" xfId="0" applyFont="1" applyBorder="1" applyAlignment="1">
      <alignment horizontal="center" wrapText="1"/>
    </xf>
    <xf numFmtId="0" fontId="7" fillId="0" borderId="3" xfId="0" applyFont="1" applyBorder="1" applyAlignment="1">
      <alignment horizontal="center" wrapText="1"/>
    </xf>
    <xf numFmtId="0" fontId="8" fillId="0" borderId="37"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3" xfId="0" applyFont="1" applyBorder="1" applyAlignment="1">
      <alignment horizontal="center" vertical="center" wrapText="1"/>
    </xf>
    <xf numFmtId="0" fontId="4" fillId="0" borderId="10" xfId="0" applyFont="1" applyBorder="1" applyAlignment="1">
      <alignment horizontal="center" vertical="top" wrapText="1"/>
    </xf>
    <xf numFmtId="0" fontId="4" fillId="0" borderId="11" xfId="0" applyFont="1" applyBorder="1" applyAlignment="1">
      <alignment horizontal="center" vertical="top" wrapText="1"/>
    </xf>
    <xf numFmtId="0" fontId="4" fillId="0" borderId="12" xfId="0" applyFont="1" applyBorder="1" applyAlignment="1">
      <alignment horizontal="center" vertical="top" wrapText="1"/>
    </xf>
    <xf numFmtId="0" fontId="17" fillId="0" borderId="14"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8" xfId="0" applyFont="1" applyBorder="1" applyAlignment="1">
      <alignment horizontal="center" vertical="center" wrapText="1"/>
    </xf>
    <xf numFmtId="0" fontId="12" fillId="0" borderId="27" xfId="0" applyFont="1" applyBorder="1" applyAlignment="1">
      <alignment horizontal="center" vertical="top" wrapText="1"/>
    </xf>
    <xf numFmtId="0" fontId="12" fillId="0" borderId="0" xfId="0" applyFont="1" applyAlignment="1">
      <alignment horizontal="center" vertical="top" wrapText="1"/>
    </xf>
    <xf numFmtId="0" fontId="12" fillId="0" borderId="41" xfId="0" applyFont="1" applyBorder="1" applyAlignment="1">
      <alignment horizontal="center" vertical="top" wrapText="1"/>
    </xf>
    <xf numFmtId="0" fontId="8" fillId="0" borderId="21" xfId="0" applyFont="1" applyBorder="1" applyAlignment="1">
      <alignment wrapText="1"/>
    </xf>
    <xf numFmtId="0" fontId="8" fillId="0" borderId="13" xfId="0" applyFont="1" applyBorder="1" applyAlignment="1">
      <alignment wrapText="1"/>
    </xf>
    <xf numFmtId="0" fontId="7" fillId="0" borderId="2" xfId="0" applyFont="1" applyBorder="1" applyAlignment="1">
      <alignment horizontal="left" vertical="top" wrapText="1"/>
    </xf>
    <xf numFmtId="0" fontId="8" fillId="8" borderId="6" xfId="0" applyFont="1" applyFill="1" applyBorder="1" applyAlignment="1">
      <alignment horizontal="center" vertical="top" wrapText="1"/>
    </xf>
    <xf numFmtId="0" fontId="8" fillId="8" borderId="9" xfId="0" applyFont="1" applyFill="1" applyBorder="1" applyAlignment="1">
      <alignment horizontal="left" vertical="top" wrapText="1"/>
    </xf>
    <xf numFmtId="0" fontId="4" fillId="0" borderId="49" xfId="0" applyFont="1" applyBorder="1" applyAlignment="1">
      <alignment horizontal="center" vertical="center" wrapText="1"/>
    </xf>
    <xf numFmtId="0" fontId="4" fillId="0" borderId="38" xfId="0" applyFont="1" applyBorder="1" applyAlignment="1">
      <alignment horizontal="center" vertical="center" wrapText="1"/>
    </xf>
    <xf numFmtId="0" fontId="8" fillId="8" borderId="13" xfId="0" applyFont="1" applyFill="1" applyBorder="1" applyAlignment="1">
      <alignment horizontal="center" vertical="top" wrapText="1"/>
    </xf>
    <xf numFmtId="0" fontId="8" fillId="8" borderId="20" xfId="0" applyFont="1" applyFill="1" applyBorder="1" applyAlignment="1">
      <alignment horizontal="center" vertical="top" wrapText="1"/>
    </xf>
    <xf numFmtId="0" fontId="12" fillId="9" borderId="5" xfId="0" applyFont="1" applyFill="1" applyBorder="1" applyAlignment="1">
      <alignment horizontal="left" vertical="top" wrapText="1"/>
    </xf>
    <xf numFmtId="0" fontId="12" fillId="9" borderId="3" xfId="0" applyFont="1" applyFill="1" applyBorder="1" applyAlignment="1">
      <alignment horizontal="left" vertical="top" wrapText="1"/>
    </xf>
    <xf numFmtId="0" fontId="12" fillId="0" borderId="21" xfId="0" applyFont="1" applyBorder="1" applyAlignment="1">
      <alignment horizontal="center" vertical="top" wrapText="1"/>
    </xf>
    <xf numFmtId="0" fontId="12" fillId="0" borderId="13" xfId="0" applyFont="1" applyBorder="1" applyAlignment="1">
      <alignment horizontal="center" vertical="top" wrapText="1"/>
    </xf>
    <xf numFmtId="0" fontId="12" fillId="0" borderId="20" xfId="0" applyFont="1" applyBorder="1" applyAlignment="1">
      <alignment horizontal="center" vertical="top" wrapText="1"/>
    </xf>
    <xf numFmtId="0" fontId="17" fillId="0" borderId="6" xfId="0" applyFont="1" applyBorder="1" applyAlignment="1">
      <alignment horizontal="center" vertical="center" wrapText="1"/>
    </xf>
    <xf numFmtId="0" fontId="4" fillId="0" borderId="9" xfId="0" applyFont="1" applyBorder="1" applyAlignment="1">
      <alignment horizontal="left" vertical="top" wrapText="1"/>
    </xf>
    <xf numFmtId="0" fontId="8" fillId="8" borderId="6" xfId="0" applyFont="1" applyFill="1" applyBorder="1" applyAlignment="1">
      <alignment horizontal="center" vertical="center" wrapText="1"/>
    </xf>
    <xf numFmtId="0" fontId="8" fillId="8" borderId="6" xfId="0" applyFont="1" applyFill="1" applyBorder="1" applyAlignment="1">
      <alignment horizontal="left" vertical="top" wrapText="1"/>
    </xf>
    <xf numFmtId="0" fontId="8" fillId="8" borderId="21" xfId="0" applyFont="1" applyFill="1" applyBorder="1" applyAlignment="1">
      <alignment horizontal="center" vertical="top" wrapText="1"/>
    </xf>
    <xf numFmtId="0" fontId="8" fillId="8" borderId="4" xfId="0" applyFont="1" applyFill="1" applyBorder="1" applyAlignment="1">
      <alignment horizontal="center" vertical="center" wrapText="1"/>
    </xf>
    <xf numFmtId="0" fontId="8" fillId="8" borderId="5" xfId="0" applyFont="1" applyFill="1" applyBorder="1" applyAlignment="1">
      <alignment horizontal="center" vertical="center" wrapText="1"/>
    </xf>
    <xf numFmtId="0" fontId="8" fillId="8" borderId="3" xfId="0" applyFont="1" applyFill="1" applyBorder="1" applyAlignment="1">
      <alignment horizontal="center" vertical="center" wrapText="1"/>
    </xf>
    <xf numFmtId="0" fontId="8" fillId="8" borderId="4" xfId="0" applyFont="1" applyFill="1" applyBorder="1" applyAlignment="1">
      <alignment horizontal="left" vertical="top" wrapText="1"/>
    </xf>
    <xf numFmtId="0" fontId="8" fillId="8" borderId="5" xfId="0" applyFont="1" applyFill="1" applyBorder="1" applyAlignment="1">
      <alignment horizontal="left" vertical="top" wrapText="1"/>
    </xf>
    <xf numFmtId="0" fontId="8" fillId="8" borderId="3" xfId="0" applyFont="1" applyFill="1" applyBorder="1" applyAlignment="1">
      <alignment horizontal="left" vertical="top" wrapText="1"/>
    </xf>
    <xf numFmtId="0" fontId="21" fillId="8" borderId="6" xfId="0" applyFont="1" applyFill="1" applyBorder="1" applyAlignment="1">
      <alignment horizontal="left" vertical="top" wrapText="1"/>
    </xf>
    <xf numFmtId="0" fontId="21" fillId="8" borderId="6" xfId="0" applyFont="1" applyFill="1" applyBorder="1" applyAlignment="1">
      <alignment horizontal="left" vertical="top"/>
    </xf>
    <xf numFmtId="0" fontId="17" fillId="8" borderId="4" xfId="0" applyFont="1" applyFill="1" applyBorder="1" applyAlignment="1">
      <alignment horizontal="center" vertical="center" wrapText="1"/>
    </xf>
    <xf numFmtId="0" fontId="17" fillId="8" borderId="5" xfId="0" applyFont="1" applyFill="1" applyBorder="1" applyAlignment="1">
      <alignment horizontal="center" vertical="center" wrapText="1"/>
    </xf>
    <xf numFmtId="0" fontId="17" fillId="8" borderId="37" xfId="0" applyFont="1" applyFill="1" applyBorder="1" applyAlignment="1">
      <alignment horizontal="center" vertical="center" wrapText="1"/>
    </xf>
    <xf numFmtId="0" fontId="21" fillId="0" borderId="6" xfId="0" applyFont="1" applyBorder="1" applyAlignment="1">
      <alignment horizontal="left" vertical="top"/>
    </xf>
    <xf numFmtId="0" fontId="12" fillId="11" borderId="6" xfId="0" applyFont="1" applyFill="1" applyBorder="1" applyAlignment="1">
      <alignment horizontal="left" vertical="top" wrapText="1"/>
    </xf>
    <xf numFmtId="0" fontId="12" fillId="11" borderId="9" xfId="0" applyFont="1" applyFill="1" applyBorder="1" applyAlignment="1">
      <alignment horizontal="left" vertical="top" wrapText="1"/>
    </xf>
    <xf numFmtId="0" fontId="17" fillId="11" borderId="6" xfId="0" applyFont="1" applyFill="1" applyBorder="1" applyAlignment="1">
      <alignment horizontal="center" vertical="top" wrapText="1"/>
    </xf>
    <xf numFmtId="0" fontId="17" fillId="11" borderId="21" xfId="0" applyFont="1" applyFill="1" applyBorder="1" applyAlignment="1">
      <alignment horizontal="center" vertical="top" wrapText="1"/>
    </xf>
    <xf numFmtId="0" fontId="17" fillId="11" borderId="13" xfId="0" applyFont="1" applyFill="1" applyBorder="1" applyAlignment="1">
      <alignment horizontal="center" vertical="top" wrapText="1"/>
    </xf>
    <xf numFmtId="0" fontId="17" fillId="11" borderId="20" xfId="0" applyFont="1" applyFill="1" applyBorder="1" applyAlignment="1">
      <alignment horizontal="center" vertical="top" wrapText="1"/>
    </xf>
    <xf numFmtId="0" fontId="17" fillId="11" borderId="4" xfId="0" applyFont="1" applyFill="1" applyBorder="1" applyAlignment="1">
      <alignment horizontal="center" vertical="top" wrapText="1"/>
    </xf>
    <xf numFmtId="0" fontId="17" fillId="11" borderId="5" xfId="0" applyFont="1" applyFill="1" applyBorder="1" applyAlignment="1">
      <alignment horizontal="center" vertical="top" wrapText="1"/>
    </xf>
    <xf numFmtId="0" fontId="17" fillId="11" borderId="3" xfId="0" applyFont="1" applyFill="1" applyBorder="1" applyAlignment="1">
      <alignment horizontal="center" vertical="top" wrapText="1"/>
    </xf>
    <xf numFmtId="0" fontId="17" fillId="11" borderId="36" xfId="0" applyFont="1" applyFill="1" applyBorder="1" applyAlignment="1">
      <alignment horizontal="center" vertical="top" wrapText="1"/>
    </xf>
    <xf numFmtId="0" fontId="17" fillId="11" borderId="4" xfId="0" applyFont="1" applyFill="1" applyBorder="1" applyAlignment="1">
      <alignment horizontal="center" vertical="center" wrapText="1"/>
    </xf>
    <xf numFmtId="0" fontId="17" fillId="11" borderId="5" xfId="0" applyFont="1" applyFill="1" applyBorder="1" applyAlignment="1">
      <alignment horizontal="center" vertical="center" wrapText="1"/>
    </xf>
    <xf numFmtId="0" fontId="17" fillId="11" borderId="37" xfId="0" applyFont="1" applyFill="1" applyBorder="1" applyAlignment="1">
      <alignment horizontal="center" vertical="center" wrapText="1"/>
    </xf>
    <xf numFmtId="0" fontId="17" fillId="0" borderId="21" xfId="0" applyFont="1" applyBorder="1" applyAlignment="1">
      <alignment horizontal="center" vertical="top" wrapText="1"/>
    </xf>
    <xf numFmtId="0" fontId="17" fillId="0" borderId="13" xfId="0" applyFont="1" applyBorder="1" applyAlignment="1">
      <alignment horizontal="center" vertical="top" wrapText="1"/>
    </xf>
    <xf numFmtId="0" fontId="17" fillId="0" borderId="20" xfId="0" applyFont="1" applyBorder="1" applyAlignment="1">
      <alignment horizontal="center" vertical="top" wrapText="1"/>
    </xf>
    <xf numFmtId="0" fontId="17" fillId="0" borderId="36" xfId="0" applyFont="1" applyBorder="1" applyAlignment="1">
      <alignment horizontal="center" vertical="top" wrapText="1"/>
    </xf>
    <xf numFmtId="0" fontId="12" fillId="8" borderId="5" xfId="0" applyFont="1" applyFill="1" applyBorder="1" applyAlignment="1">
      <alignment horizontal="center" vertical="center" wrapText="1"/>
    </xf>
    <xf numFmtId="0" fontId="12" fillId="8" borderId="37" xfId="0" applyFont="1" applyFill="1" applyBorder="1" applyAlignment="1">
      <alignment horizontal="center" vertical="center" wrapText="1"/>
    </xf>
    <xf numFmtId="0" fontId="17" fillId="0" borderId="15" xfId="0" applyFont="1" applyBorder="1" applyAlignment="1">
      <alignment horizontal="center" vertical="top" wrapText="1"/>
    </xf>
    <xf numFmtId="0" fontId="17" fillId="0" borderId="16" xfId="0" applyFont="1" applyBorder="1" applyAlignment="1">
      <alignment horizontal="center" vertical="top" wrapText="1"/>
    </xf>
    <xf numFmtId="0" fontId="17" fillId="0" borderId="7" xfId="0" applyFont="1" applyBorder="1" applyAlignment="1">
      <alignment horizontal="center" vertical="top" wrapText="1"/>
    </xf>
    <xf numFmtId="0" fontId="34" fillId="8" borderId="6" xfId="0" applyFont="1" applyFill="1" applyBorder="1" applyAlignment="1">
      <alignment horizontal="left" vertical="top" wrapText="1"/>
    </xf>
    <xf numFmtId="0" fontId="20" fillId="0" borderId="9" xfId="0" applyFont="1" applyBorder="1" applyAlignment="1">
      <alignment horizontal="left" vertical="top" wrapText="1"/>
    </xf>
    <xf numFmtId="0" fontId="17" fillId="0" borderId="18"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37" xfId="0" applyFont="1" applyBorder="1" applyAlignment="1">
      <alignment horizontal="center" vertical="center" wrapText="1"/>
    </xf>
    <xf numFmtId="0" fontId="17" fillId="0" borderId="18" xfId="0" applyFont="1" applyBorder="1" applyAlignment="1">
      <alignment horizontal="left" vertical="top" wrapText="1"/>
    </xf>
    <xf numFmtId="0" fontId="8" fillId="0" borderId="6" xfId="0" applyFont="1" applyBorder="1" applyAlignment="1">
      <alignment horizontal="left" vertical="top" wrapText="1"/>
    </xf>
    <xf numFmtId="0" fontId="17" fillId="0" borderId="7" xfId="0" applyFont="1" applyBorder="1" applyAlignment="1">
      <alignment horizontal="left" vertical="top" wrapText="1"/>
    </xf>
    <xf numFmtId="0" fontId="17" fillId="0" borderId="4" xfId="0" applyFont="1" applyBorder="1" applyAlignment="1">
      <alignment horizontal="center" vertical="center" wrapText="1"/>
    </xf>
    <xf numFmtId="0" fontId="17" fillId="8" borderId="11" xfId="0" applyFont="1" applyFill="1" applyBorder="1" applyAlignment="1">
      <alignment horizontal="center" vertical="center" wrapText="1"/>
    </xf>
    <xf numFmtId="0" fontId="17" fillId="8" borderId="38" xfId="0" applyFont="1" applyFill="1" applyBorder="1" applyAlignment="1">
      <alignment horizontal="center" vertical="center" wrapText="1"/>
    </xf>
    <xf numFmtId="0" fontId="17" fillId="0" borderId="11" xfId="0" applyFont="1" applyBorder="1" applyAlignment="1">
      <alignment horizontal="left" vertical="top" wrapText="1"/>
    </xf>
    <xf numFmtId="0" fontId="17" fillId="0" borderId="38" xfId="0" applyFont="1" applyBorder="1" applyAlignment="1">
      <alignment horizontal="left" vertical="top" wrapText="1"/>
    </xf>
    <xf numFmtId="0" fontId="17" fillId="0" borderId="9" xfId="0" applyFont="1" applyBorder="1" applyAlignment="1">
      <alignment horizontal="center" vertical="top" wrapText="1"/>
    </xf>
    <xf numFmtId="0" fontId="12" fillId="8" borderId="4" xfId="0" applyFont="1" applyFill="1" applyBorder="1" applyAlignment="1">
      <alignment horizontal="center" vertical="center" wrapText="1"/>
    </xf>
    <xf numFmtId="0" fontId="12" fillId="8" borderId="3" xfId="0" applyFont="1" applyFill="1" applyBorder="1" applyAlignment="1">
      <alignment horizontal="center" vertical="center" wrapText="1"/>
    </xf>
    <xf numFmtId="0" fontId="7" fillId="0" borderId="17" xfId="0" applyFont="1" applyBorder="1" applyAlignment="1">
      <alignment horizontal="left" vertical="top" wrapText="1"/>
    </xf>
    <xf numFmtId="0" fontId="7" fillId="0" borderId="8" xfId="0" applyFont="1" applyBorder="1" applyAlignment="1">
      <alignment horizontal="left" vertical="top" wrapText="1"/>
    </xf>
    <xf numFmtId="0" fontId="8" fillId="0" borderId="4" xfId="0" applyFont="1" applyBorder="1" applyAlignment="1">
      <alignment horizontal="center" wrapText="1"/>
    </xf>
    <xf numFmtId="0" fontId="8" fillId="0" borderId="5" xfId="0" applyFont="1" applyBorder="1" applyAlignment="1">
      <alignment horizontal="center" wrapText="1"/>
    </xf>
    <xf numFmtId="0" fontId="8" fillId="0" borderId="3" xfId="0" applyFont="1" applyBorder="1" applyAlignment="1">
      <alignment horizontal="center" wrapText="1"/>
    </xf>
    <xf numFmtId="0" fontId="12" fillId="0" borderId="43" xfId="0" applyFont="1" applyBorder="1" applyAlignment="1">
      <alignment horizontal="center" vertical="top" wrapText="1"/>
    </xf>
    <xf numFmtId="0" fontId="17" fillId="8" borderId="3" xfId="0" applyFont="1" applyFill="1" applyBorder="1" applyAlignment="1">
      <alignment horizontal="center" vertical="center" wrapText="1"/>
    </xf>
    <xf numFmtId="0" fontId="12" fillId="0" borderId="15" xfId="0" applyFont="1" applyBorder="1" applyAlignment="1">
      <alignment horizontal="center" vertical="top" wrapText="1"/>
    </xf>
    <xf numFmtId="0" fontId="12" fillId="0" borderId="16" xfId="0" applyFont="1" applyBorder="1" applyAlignment="1">
      <alignment horizontal="center" vertical="top" wrapText="1"/>
    </xf>
    <xf numFmtId="0" fontId="12" fillId="0" borderId="7" xfId="0" applyFont="1" applyBorder="1" applyAlignment="1">
      <alignment horizontal="center" vertical="top" wrapText="1"/>
    </xf>
    <xf numFmtId="0" fontId="12" fillId="8" borderId="14" xfId="0" applyFont="1" applyFill="1" applyBorder="1" applyAlignment="1">
      <alignment horizontal="center" vertical="center" wrapText="1"/>
    </xf>
    <xf numFmtId="0" fontId="12" fillId="8" borderId="17" xfId="0" applyFont="1" applyFill="1" applyBorder="1" applyAlignment="1">
      <alignment horizontal="center" vertical="center" wrapText="1"/>
    </xf>
    <xf numFmtId="0" fontId="12" fillId="8" borderId="8" xfId="0" applyFont="1" applyFill="1" applyBorder="1" applyAlignment="1">
      <alignment horizontal="center" vertical="center" wrapText="1"/>
    </xf>
    <xf numFmtId="0" fontId="17" fillId="0" borderId="37" xfId="0" applyFont="1" applyBorder="1" applyAlignment="1">
      <alignment horizontal="center" vertical="top" wrapText="1"/>
    </xf>
    <xf numFmtId="0" fontId="17" fillId="0" borderId="26" xfId="0" applyFont="1" applyBorder="1" applyAlignment="1">
      <alignment horizontal="center" vertical="top" wrapText="1"/>
    </xf>
    <xf numFmtId="0" fontId="17" fillId="0" borderId="19" xfId="0" applyFont="1" applyBorder="1" applyAlignment="1">
      <alignment horizontal="center" vertical="top" wrapText="1"/>
    </xf>
    <xf numFmtId="0" fontId="17" fillId="0" borderId="29" xfId="0" applyFont="1" applyBorder="1" applyAlignment="1">
      <alignment horizontal="center" vertical="top" wrapText="1"/>
    </xf>
    <xf numFmtId="0" fontId="17" fillId="8" borderId="14" xfId="0" applyFont="1" applyFill="1" applyBorder="1" applyAlignment="1">
      <alignment horizontal="center" vertical="center" wrapText="1"/>
    </xf>
    <xf numFmtId="0" fontId="17" fillId="0" borderId="31" xfId="0" applyFont="1" applyBorder="1" applyAlignment="1">
      <alignment horizontal="center" vertical="top" wrapText="1"/>
    </xf>
    <xf numFmtId="0" fontId="13" fillId="10" borderId="6" xfId="0" applyFont="1" applyFill="1" applyBorder="1" applyAlignment="1">
      <alignment horizontal="left" vertical="top" wrapText="1"/>
    </xf>
    <xf numFmtId="0" fontId="8" fillId="0" borderId="6" xfId="0" applyFont="1" applyBorder="1" applyAlignment="1">
      <alignment horizontal="center" vertical="center" wrapText="1"/>
    </xf>
    <xf numFmtId="0" fontId="12" fillId="0" borderId="42" xfId="0" applyFont="1" applyBorder="1" applyAlignment="1">
      <alignment horizontal="left" vertical="top" wrapText="1"/>
    </xf>
    <xf numFmtId="0" fontId="4" fillId="0" borderId="9" xfId="0" applyFont="1" applyBorder="1" applyAlignment="1">
      <alignment horizontal="center" vertical="top" wrapText="1"/>
    </xf>
    <xf numFmtId="0" fontId="16" fillId="0" borderId="4" xfId="0" applyFont="1" applyBorder="1" applyAlignment="1">
      <alignment horizontal="left" vertical="top" wrapText="1"/>
    </xf>
    <xf numFmtId="0" fontId="16" fillId="0" borderId="5" xfId="0" applyFont="1" applyBorder="1" applyAlignment="1">
      <alignment horizontal="left" vertical="top" wrapText="1"/>
    </xf>
    <xf numFmtId="0" fontId="17" fillId="8" borderId="10" xfId="0" applyFont="1" applyFill="1" applyBorder="1" applyAlignment="1">
      <alignment horizontal="center" vertical="center" wrapText="1"/>
    </xf>
    <xf numFmtId="0" fontId="17" fillId="0" borderId="10" xfId="0" applyFont="1" applyBorder="1" applyAlignment="1">
      <alignment horizontal="left" vertical="top" wrapText="1"/>
    </xf>
    <xf numFmtId="0" fontId="4" fillId="8" borderId="14" xfId="0" applyFont="1" applyFill="1" applyBorder="1" applyAlignment="1">
      <alignment horizontal="center" vertical="center" wrapText="1"/>
    </xf>
    <xf numFmtId="0" fontId="4" fillId="8" borderId="17" xfId="0" applyFont="1" applyFill="1" applyBorder="1" applyAlignment="1">
      <alignment horizontal="center" vertical="center" wrapText="1"/>
    </xf>
    <xf numFmtId="0" fontId="4" fillId="8" borderId="8" xfId="0" applyFont="1" applyFill="1" applyBorder="1" applyAlignment="1">
      <alignment horizontal="center" vertical="center" wrapText="1"/>
    </xf>
    <xf numFmtId="0" fontId="17" fillId="11" borderId="37" xfId="0" applyFont="1" applyFill="1" applyBorder="1" applyAlignment="1">
      <alignment horizontal="left" vertical="top" wrapText="1"/>
    </xf>
    <xf numFmtId="0" fontId="20" fillId="11" borderId="4" xfId="0" applyFont="1" applyFill="1" applyBorder="1" applyAlignment="1">
      <alignment horizontal="left" vertical="top" wrapText="1"/>
    </xf>
    <xf numFmtId="0" fontId="20" fillId="11" borderId="5" xfId="0" applyFont="1" applyFill="1" applyBorder="1" applyAlignment="1">
      <alignment horizontal="left" vertical="top" wrapText="1"/>
    </xf>
    <xf numFmtId="0" fontId="20" fillId="11" borderId="3" xfId="0" applyFont="1" applyFill="1" applyBorder="1" applyAlignment="1">
      <alignment horizontal="left" vertical="top" wrapText="1"/>
    </xf>
    <xf numFmtId="0" fontId="12" fillId="0" borderId="39" xfId="0" applyFont="1" applyBorder="1" applyAlignment="1">
      <alignment horizontal="left" vertical="top" wrapText="1"/>
    </xf>
    <xf numFmtId="0" fontId="12" fillId="0" borderId="40" xfId="0" applyFont="1" applyBorder="1" applyAlignment="1">
      <alignment horizontal="left" vertical="top" wrapText="1"/>
    </xf>
    <xf numFmtId="0" fontId="12" fillId="0" borderId="28" xfId="0" applyFont="1" applyBorder="1" applyAlignment="1">
      <alignment horizontal="left" vertical="top" wrapText="1"/>
    </xf>
    <xf numFmtId="0" fontId="12" fillId="11" borderId="4" xfId="0" applyFont="1" applyFill="1" applyBorder="1" applyAlignment="1">
      <alignment horizontal="left" vertical="top" wrapText="1"/>
    </xf>
    <xf numFmtId="0" fontId="12" fillId="11" borderId="5" xfId="0" applyFont="1" applyFill="1" applyBorder="1" applyAlignment="1">
      <alignment horizontal="left" vertical="top" wrapText="1"/>
    </xf>
    <xf numFmtId="0" fontId="12" fillId="11" borderId="3" xfId="0" applyFont="1" applyFill="1" applyBorder="1" applyAlignment="1">
      <alignment horizontal="left" vertical="top" wrapText="1"/>
    </xf>
    <xf numFmtId="0" fontId="12" fillId="0" borderId="23" xfId="0" applyFont="1" applyBorder="1" applyAlignment="1">
      <alignment horizontal="left" vertical="top" wrapText="1"/>
    </xf>
    <xf numFmtId="0" fontId="12" fillId="0" borderId="24" xfId="0" applyFont="1" applyBorder="1" applyAlignment="1">
      <alignment horizontal="left" vertical="top" wrapText="1"/>
    </xf>
    <xf numFmtId="0" fontId="12" fillId="0" borderId="25" xfId="0" applyFont="1" applyBorder="1" applyAlignment="1">
      <alignment horizontal="left" vertical="top" wrapText="1"/>
    </xf>
    <xf numFmtId="0" fontId="12" fillId="0" borderId="13" xfId="0" applyFont="1" applyBorder="1" applyAlignment="1">
      <alignment horizontal="center" vertical="center" wrapText="1"/>
    </xf>
    <xf numFmtId="0" fontId="4" fillId="8" borderId="21"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17" fillId="8" borderId="6" xfId="0" applyFont="1" applyFill="1" applyBorder="1" applyAlignment="1">
      <alignment horizontal="left" vertical="top" wrapText="1"/>
    </xf>
    <xf numFmtId="0" fontId="17" fillId="8" borderId="9" xfId="0" applyFont="1" applyFill="1" applyBorder="1" applyAlignment="1">
      <alignment horizontal="left" vertical="top" wrapText="1"/>
    </xf>
    <xf numFmtId="0" fontId="12" fillId="0" borderId="15" xfId="0" applyFont="1" applyBorder="1" applyAlignment="1">
      <alignment horizontal="left" vertical="top" wrapText="1"/>
    </xf>
    <xf numFmtId="0" fontId="12" fillId="0" borderId="16" xfId="0" applyFont="1" applyBorder="1" applyAlignment="1">
      <alignment horizontal="left" vertical="top" wrapText="1"/>
    </xf>
    <xf numFmtId="0" fontId="12" fillId="0" borderId="39" xfId="0" applyFont="1" applyBorder="1" applyAlignment="1">
      <alignment horizontal="center" vertical="top" wrapText="1"/>
    </xf>
    <xf numFmtId="0" fontId="12" fillId="0" borderId="40" xfId="0" applyFont="1" applyBorder="1" applyAlignment="1">
      <alignment horizontal="center" vertical="top" wrapText="1"/>
    </xf>
    <xf numFmtId="0" fontId="4" fillId="8" borderId="6" xfId="0" applyFont="1" applyFill="1" applyBorder="1" applyAlignment="1">
      <alignment horizontal="center" vertical="center" wrapText="1"/>
    </xf>
    <xf numFmtId="0" fontId="20" fillId="0" borderId="21" xfId="0" applyFont="1" applyBorder="1" applyAlignment="1">
      <alignment horizontal="left" vertical="top" wrapText="1"/>
    </xf>
    <xf numFmtId="0" fontId="20" fillId="0" borderId="13" xfId="0" applyFont="1" applyBorder="1" applyAlignment="1">
      <alignment horizontal="left" vertical="top" wrapText="1"/>
    </xf>
    <xf numFmtId="0" fontId="20" fillId="0" borderId="20" xfId="0" applyFont="1" applyBorder="1" applyAlignment="1">
      <alignment horizontal="left" vertical="top" wrapText="1"/>
    </xf>
    <xf numFmtId="0" fontId="17" fillId="0" borderId="27" xfId="0" applyFont="1" applyBorder="1" applyAlignment="1">
      <alignment horizontal="left" vertical="top" wrapText="1"/>
    </xf>
    <xf numFmtId="0" fontId="17" fillId="0" borderId="0" xfId="0" applyFont="1" applyAlignment="1">
      <alignment horizontal="left" vertical="top" wrapText="1"/>
    </xf>
    <xf numFmtId="0" fontId="17" fillId="0" borderId="41" xfId="0" applyFont="1" applyBorder="1" applyAlignment="1">
      <alignment horizontal="left" vertical="top" wrapText="1"/>
    </xf>
    <xf numFmtId="0" fontId="4" fillId="8" borderId="46" xfId="0" applyFont="1" applyFill="1" applyBorder="1" applyAlignment="1">
      <alignment horizontal="center" vertical="center" wrapText="1"/>
    </xf>
    <xf numFmtId="0" fontId="4" fillId="8" borderId="19" xfId="0" applyFont="1" applyFill="1" applyBorder="1" applyAlignment="1">
      <alignment horizontal="center" vertical="center" wrapText="1"/>
    </xf>
    <xf numFmtId="0" fontId="4" fillId="8" borderId="29" xfId="0" applyFont="1" applyFill="1" applyBorder="1" applyAlignment="1">
      <alignment horizontal="center" vertical="center" wrapText="1"/>
    </xf>
    <xf numFmtId="0" fontId="4" fillId="0" borderId="46" xfId="0" applyFont="1" applyBorder="1" applyAlignment="1">
      <alignment horizontal="center" vertical="top" wrapText="1"/>
    </xf>
    <xf numFmtId="0" fontId="4" fillId="0" borderId="19" xfId="0" applyFont="1" applyBorder="1" applyAlignment="1">
      <alignment horizontal="center" vertical="top" wrapText="1"/>
    </xf>
    <xf numFmtId="0" fontId="4" fillId="0" borderId="29" xfId="0" applyFont="1" applyBorder="1" applyAlignment="1">
      <alignment horizontal="center" vertical="top" wrapText="1"/>
    </xf>
    <xf numFmtId="0" fontId="17" fillId="0" borderId="43" xfId="0" applyFont="1" applyBorder="1" applyAlignment="1">
      <alignment horizontal="left" vertical="top" wrapText="1"/>
    </xf>
    <xf numFmtId="0" fontId="13" fillId="0" borderId="9" xfId="0" applyFont="1" applyBorder="1" applyAlignment="1">
      <alignment horizontal="left" vertical="top" wrapText="1"/>
    </xf>
    <xf numFmtId="0" fontId="12" fillId="0" borderId="14" xfId="0" applyFont="1" applyBorder="1" applyAlignment="1">
      <alignment wrapText="1"/>
    </xf>
    <xf numFmtId="0" fontId="12" fillId="0" borderId="17" xfId="0" applyFont="1" applyBorder="1" applyAlignment="1">
      <alignment wrapText="1"/>
    </xf>
    <xf numFmtId="0" fontId="8" fillId="8" borderId="14" xfId="0" applyFont="1" applyFill="1" applyBorder="1" applyAlignment="1">
      <alignment horizontal="center" wrapText="1"/>
    </xf>
    <xf numFmtId="0" fontId="13" fillId="0" borderId="14" xfId="0" applyFont="1" applyBorder="1" applyAlignment="1">
      <alignment horizontal="center" vertical="top" wrapText="1"/>
    </xf>
    <xf numFmtId="0" fontId="13" fillId="0" borderId="8" xfId="0" applyFont="1" applyBorder="1" applyAlignment="1">
      <alignment horizontal="center" vertical="top" wrapText="1"/>
    </xf>
    <xf numFmtId="0" fontId="7" fillId="0" borderId="6" xfId="0" applyFont="1" applyBorder="1" applyAlignment="1">
      <alignment horizontal="center" vertical="center" wrapText="1"/>
    </xf>
    <xf numFmtId="0" fontId="17" fillId="8" borderId="4" xfId="0" applyFont="1" applyFill="1" applyBorder="1" applyAlignment="1">
      <alignment wrapText="1"/>
    </xf>
    <xf numFmtId="0" fontId="17" fillId="8" borderId="5" xfId="0" applyFont="1" applyFill="1" applyBorder="1" applyAlignment="1">
      <alignment wrapText="1"/>
    </xf>
    <xf numFmtId="0" fontId="17" fillId="8" borderId="3" xfId="0" applyFont="1" applyFill="1" applyBorder="1" applyAlignment="1">
      <alignment wrapText="1"/>
    </xf>
    <xf numFmtId="0" fontId="17" fillId="8" borderId="4" xfId="0" applyFont="1" applyFill="1" applyBorder="1" applyAlignment="1">
      <alignment vertical="top" wrapText="1"/>
    </xf>
    <xf numFmtId="0" fontId="17" fillId="8" borderId="5" xfId="0" applyFont="1" applyFill="1" applyBorder="1" applyAlignment="1">
      <alignment vertical="top" wrapText="1"/>
    </xf>
    <xf numFmtId="0" fontId="17" fillId="8" borderId="3" xfId="0" applyFont="1" applyFill="1" applyBorder="1" applyAlignment="1">
      <alignment vertical="top" wrapText="1"/>
    </xf>
    <xf numFmtId="0" fontId="12" fillId="0" borderId="28" xfId="0" applyFont="1" applyBorder="1" applyAlignment="1">
      <alignment horizontal="center" vertical="top" wrapText="1"/>
    </xf>
    <xf numFmtId="0" fontId="12" fillId="8" borderId="39" xfId="0" applyFont="1" applyFill="1" applyBorder="1" applyAlignment="1">
      <alignment horizontal="center" vertical="center" wrapText="1"/>
    </xf>
    <xf numFmtId="0" fontId="12" fillId="8" borderId="40" xfId="0" applyFont="1" applyFill="1" applyBorder="1" applyAlignment="1">
      <alignment horizontal="center" vertical="center" wrapText="1"/>
    </xf>
    <xf numFmtId="0" fontId="12" fillId="8" borderId="28" xfId="0" applyFont="1" applyFill="1" applyBorder="1" applyAlignment="1">
      <alignment horizontal="center" vertical="center" wrapText="1"/>
    </xf>
    <xf numFmtId="0" fontId="12" fillId="8" borderId="15" xfId="0" applyFont="1" applyFill="1" applyBorder="1" applyAlignment="1">
      <alignment horizontal="center" vertical="center" wrapText="1"/>
    </xf>
    <xf numFmtId="0" fontId="12" fillId="8" borderId="16" xfId="0" applyFont="1" applyFill="1" applyBorder="1" applyAlignment="1">
      <alignment horizontal="center" vertical="center" wrapText="1"/>
    </xf>
    <xf numFmtId="0" fontId="12" fillId="8" borderId="7" xfId="0" applyFont="1" applyFill="1" applyBorder="1" applyAlignment="1">
      <alignment horizontal="center" vertical="center" wrapText="1"/>
    </xf>
    <xf numFmtId="0" fontId="4" fillId="0" borderId="26" xfId="0" applyFont="1" applyBorder="1" applyAlignment="1">
      <alignment horizontal="center" vertical="top" wrapText="1"/>
    </xf>
    <xf numFmtId="0" fontId="4" fillId="0" borderId="44" xfId="0" applyFont="1" applyBorder="1" applyAlignment="1">
      <alignment horizontal="center" vertical="top" wrapText="1"/>
    </xf>
    <xf numFmtId="0" fontId="4" fillId="0" borderId="37" xfId="0" applyFont="1" applyBorder="1" applyAlignment="1">
      <alignment horizontal="center" vertical="top" wrapText="1"/>
    </xf>
    <xf numFmtId="0" fontId="14" fillId="0" borderId="14" xfId="0" applyFont="1" applyBorder="1" applyAlignment="1">
      <alignment horizontal="center" vertical="top" wrapText="1"/>
    </xf>
    <xf numFmtId="0" fontId="14" fillId="0" borderId="17" xfId="0" applyFont="1" applyBorder="1" applyAlignment="1">
      <alignment horizontal="center" vertical="top" wrapText="1"/>
    </xf>
    <xf numFmtId="0" fontId="14" fillId="0" borderId="8" xfId="0" applyFont="1" applyBorder="1" applyAlignment="1">
      <alignment horizontal="center" vertical="top" wrapText="1"/>
    </xf>
    <xf numFmtId="0" fontId="8" fillId="0" borderId="14" xfId="0" applyFont="1" applyBorder="1" applyAlignment="1">
      <alignment horizontal="center" vertical="top" wrapText="1"/>
    </xf>
    <xf numFmtId="0" fontId="8" fillId="0" borderId="17" xfId="0" applyFont="1" applyBorder="1" applyAlignment="1">
      <alignment horizontal="center" vertical="top" wrapText="1"/>
    </xf>
    <xf numFmtId="0" fontId="8" fillId="0" borderId="8" xfId="0" applyFont="1" applyBorder="1" applyAlignment="1">
      <alignment horizontal="center" vertical="top" wrapText="1"/>
    </xf>
    <xf numFmtId="0" fontId="8" fillId="8" borderId="13" xfId="0" applyFont="1" applyFill="1" applyBorder="1" applyAlignment="1">
      <alignment horizontal="center" vertical="center" wrapText="1"/>
    </xf>
    <xf numFmtId="0" fontId="21" fillId="0" borderId="6" xfId="0" applyFont="1" applyBorder="1" applyAlignment="1">
      <alignment horizontal="left" vertical="top" wrapText="1"/>
    </xf>
    <xf numFmtId="0" fontId="7" fillId="8" borderId="4" xfId="0" applyFont="1" applyFill="1" applyBorder="1" applyAlignment="1">
      <alignment horizontal="center" vertical="center" wrapText="1"/>
    </xf>
    <xf numFmtId="0" fontId="7" fillId="8" borderId="3" xfId="0" applyFont="1" applyFill="1" applyBorder="1" applyAlignment="1">
      <alignment horizontal="center" vertical="center" wrapText="1"/>
    </xf>
    <xf numFmtId="0" fontId="12" fillId="0" borderId="39" xfId="0" applyFont="1" applyBorder="1" applyAlignment="1">
      <alignment horizontal="center" vertical="center" wrapText="1"/>
    </xf>
    <xf numFmtId="0" fontId="12" fillId="0" borderId="40" xfId="0" applyFont="1" applyBorder="1" applyAlignment="1">
      <alignment horizontal="center" vertical="center" wrapText="1"/>
    </xf>
    <xf numFmtId="0" fontId="12" fillId="0" borderId="28" xfId="0" applyFont="1" applyBorder="1" applyAlignment="1">
      <alignment horizontal="center" vertical="center" wrapText="1"/>
    </xf>
    <xf numFmtId="0" fontId="12" fillId="8" borderId="23"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12" fillId="8" borderId="23" xfId="0" applyFont="1" applyFill="1" applyBorder="1" applyAlignment="1">
      <alignment horizontal="left" vertical="top" wrapText="1"/>
    </xf>
    <xf numFmtId="0" fontId="12" fillId="8" borderId="24" xfId="0" applyFont="1" applyFill="1" applyBorder="1" applyAlignment="1">
      <alignment horizontal="left" vertical="top" wrapText="1"/>
    </xf>
    <xf numFmtId="0" fontId="12" fillId="0" borderId="14" xfId="0" applyFont="1" applyBorder="1" applyAlignment="1" applyProtection="1">
      <alignment horizontal="left" vertical="top" wrapText="1"/>
      <protection locked="0"/>
    </xf>
    <xf numFmtId="0" fontId="12" fillId="0" borderId="17"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7" fillId="11" borderId="14" xfId="0" applyFont="1" applyFill="1" applyBorder="1" applyAlignment="1">
      <alignment horizontal="left" vertical="top" wrapText="1"/>
    </xf>
    <xf numFmtId="0" fontId="7" fillId="11" borderId="17" xfId="0" applyFont="1" applyFill="1" applyBorder="1" applyAlignment="1">
      <alignment horizontal="left" vertical="top" wrapText="1"/>
    </xf>
    <xf numFmtId="0" fontId="7" fillId="11" borderId="8" xfId="0" applyFont="1" applyFill="1" applyBorder="1" applyAlignment="1">
      <alignment horizontal="left" vertical="top" wrapText="1"/>
    </xf>
    <xf numFmtId="0" fontId="0" fillId="0" borderId="17" xfId="0" applyBorder="1" applyAlignment="1">
      <alignment horizontal="center"/>
    </xf>
    <xf numFmtId="0" fontId="0" fillId="0" borderId="14" xfId="0" applyBorder="1" applyAlignment="1">
      <alignment horizontal="center"/>
    </xf>
    <xf numFmtId="0" fontId="0" fillId="0" borderId="8" xfId="0" applyBorder="1" applyAlignment="1">
      <alignment horizontal="center"/>
    </xf>
    <xf numFmtId="0" fontId="17" fillId="8" borderId="14" xfId="0" applyFont="1" applyFill="1" applyBorder="1" applyAlignment="1">
      <alignment horizontal="center" vertical="top" wrapText="1"/>
    </xf>
    <xf numFmtId="0" fontId="17" fillId="8" borderId="8" xfId="0" applyFont="1" applyFill="1" applyBorder="1" applyAlignment="1">
      <alignment horizontal="center" vertical="top" wrapText="1"/>
    </xf>
    <xf numFmtId="0" fontId="21" fillId="0" borderId="30" xfId="0" applyFont="1" applyBorder="1" applyAlignment="1">
      <alignment horizontal="center" vertical="top"/>
    </xf>
    <xf numFmtId="0" fontId="21" fillId="0" borderId="17" xfId="0" applyFont="1" applyBorder="1" applyAlignment="1">
      <alignment horizontal="center" vertical="top"/>
    </xf>
    <xf numFmtId="0" fontId="21" fillId="0" borderId="8" xfId="0" applyFont="1" applyBorder="1" applyAlignment="1">
      <alignment horizontal="center" vertical="top"/>
    </xf>
    <xf numFmtId="0" fontId="21" fillId="0" borderId="30" xfId="0" applyFont="1" applyBorder="1" applyAlignment="1">
      <alignment horizontal="center" vertical="top" wrapText="1"/>
    </xf>
    <xf numFmtId="0" fontId="21" fillId="0" borderId="17" xfId="0" applyFont="1" applyBorder="1" applyAlignment="1">
      <alignment horizontal="center" vertical="top" wrapText="1"/>
    </xf>
    <xf numFmtId="0" fontId="21" fillId="0" borderId="8" xfId="0" applyFont="1" applyBorder="1" applyAlignment="1">
      <alignment horizontal="center" vertical="top" wrapText="1"/>
    </xf>
    <xf numFmtId="0" fontId="17" fillId="0" borderId="23" xfId="0" applyFont="1" applyBorder="1" applyAlignment="1">
      <alignment horizontal="left" vertical="top" wrapText="1"/>
    </xf>
    <xf numFmtId="0" fontId="17" fillId="0" borderId="24" xfId="0" applyFont="1" applyBorder="1" applyAlignment="1">
      <alignment horizontal="left" vertical="top" wrapText="1"/>
    </xf>
    <xf numFmtId="0" fontId="17" fillId="0" borderId="25" xfId="0" applyFont="1" applyBorder="1" applyAlignment="1">
      <alignment horizontal="left" vertical="top" wrapText="1"/>
    </xf>
    <xf numFmtId="0" fontId="17" fillId="0" borderId="14" xfId="0" applyFont="1" applyBorder="1" applyAlignment="1">
      <alignment horizontal="center" vertical="center"/>
    </xf>
    <xf numFmtId="0" fontId="17" fillId="0" borderId="8" xfId="0" applyFont="1" applyBorder="1" applyAlignment="1">
      <alignment horizontal="center" vertical="center"/>
    </xf>
    <xf numFmtId="0" fontId="12" fillId="0" borderId="2" xfId="0" applyFont="1" applyBorder="1" applyAlignment="1">
      <alignment vertical="center" wrapText="1"/>
    </xf>
    <xf numFmtId="0" fontId="12" fillId="0" borderId="4" xfId="0" applyFont="1" applyBorder="1" applyAlignment="1">
      <alignment vertical="center" wrapText="1"/>
    </xf>
    <xf numFmtId="0" fontId="4" fillId="0" borderId="2" xfId="0" applyFont="1" applyBorder="1" applyAlignment="1">
      <alignment horizontal="center" vertical="center" wrapText="1"/>
    </xf>
    <xf numFmtId="0" fontId="8" fillId="0" borderId="2" xfId="0" applyFont="1" applyBorder="1" applyAlignment="1">
      <alignment horizontal="center" wrapText="1"/>
    </xf>
    <xf numFmtId="0" fontId="8" fillId="8" borderId="2" xfId="0" applyFont="1" applyFill="1" applyBorder="1" applyAlignment="1">
      <alignment horizontal="center" vertical="center" wrapText="1"/>
    </xf>
    <xf numFmtId="0" fontId="4" fillId="8" borderId="48" xfId="0" applyFont="1" applyFill="1" applyBorder="1" applyAlignment="1">
      <alignment horizontal="center" vertical="center" wrapText="1"/>
    </xf>
    <xf numFmtId="0" fontId="4" fillId="8" borderId="24" xfId="0" applyFont="1" applyFill="1" applyBorder="1" applyAlignment="1">
      <alignment horizontal="center" vertical="center" wrapText="1"/>
    </xf>
    <xf numFmtId="0" fontId="4" fillId="8" borderId="25"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7" fillId="0" borderId="21" xfId="0" applyFont="1" applyBorder="1" applyAlignment="1">
      <alignment horizontal="left" vertical="top" wrapText="1"/>
    </xf>
    <xf numFmtId="0" fontId="7" fillId="0" borderId="13" xfId="0" applyFont="1" applyBorder="1" applyAlignment="1">
      <alignment horizontal="left" vertical="top" wrapText="1"/>
    </xf>
    <xf numFmtId="0" fontId="8" fillId="0" borderId="21" xfId="0" applyFont="1" applyBorder="1" applyAlignment="1">
      <alignment horizontal="center" wrapText="1"/>
    </xf>
    <xf numFmtId="0" fontId="8" fillId="0" borderId="13" xfId="0" applyFont="1" applyBorder="1" applyAlignment="1">
      <alignment horizontal="center" wrapText="1"/>
    </xf>
    <xf numFmtId="0" fontId="8" fillId="0" borderId="20" xfId="0" applyFont="1" applyBorder="1" applyAlignment="1">
      <alignment horizontal="center" wrapText="1"/>
    </xf>
    <xf numFmtId="0" fontId="7" fillId="0" borderId="21" xfId="0" applyFont="1" applyBorder="1" applyAlignment="1">
      <alignment horizontal="center" vertical="top" wrapText="1"/>
    </xf>
    <xf numFmtId="0" fontId="7" fillId="0" borderId="13" xfId="0" applyFont="1" applyBorder="1" applyAlignment="1">
      <alignment horizontal="center" vertical="top" wrapText="1"/>
    </xf>
    <xf numFmtId="0" fontId="7" fillId="0" borderId="20" xfId="0" applyFont="1" applyBorder="1" applyAlignment="1">
      <alignment horizontal="center" vertical="top" wrapText="1"/>
    </xf>
    <xf numFmtId="0" fontId="7" fillId="0" borderId="4" xfId="0" applyFont="1" applyBorder="1" applyAlignment="1">
      <alignment horizontal="center" vertical="top" wrapText="1"/>
    </xf>
    <xf numFmtId="0" fontId="7" fillId="0" borderId="5" xfId="0" applyFont="1" applyBorder="1" applyAlignment="1">
      <alignment horizontal="center" vertical="top" wrapText="1"/>
    </xf>
    <xf numFmtId="0" fontId="7" fillId="0" borderId="3" xfId="0" applyFont="1" applyBorder="1" applyAlignment="1">
      <alignment horizontal="center" vertical="top" wrapText="1"/>
    </xf>
    <xf numFmtId="0" fontId="34" fillId="0" borderId="4" xfId="0" applyFont="1" applyBorder="1" applyAlignment="1">
      <alignment horizontal="center" vertical="top" wrapText="1"/>
    </xf>
    <xf numFmtId="0" fontId="34" fillId="0" borderId="5" xfId="0" applyFont="1" applyBorder="1" applyAlignment="1">
      <alignment horizontal="center" vertical="top" wrapText="1"/>
    </xf>
    <xf numFmtId="0" fontId="34" fillId="0" borderId="3" xfId="0" applyFont="1" applyBorder="1" applyAlignment="1">
      <alignment horizontal="center" vertical="top" wrapText="1"/>
    </xf>
    <xf numFmtId="0" fontId="8" fillId="0" borderId="37" xfId="0" applyFont="1" applyBorder="1" applyAlignment="1">
      <alignment wrapText="1"/>
    </xf>
    <xf numFmtId="0" fontId="8" fillId="8" borderId="37" xfId="0" applyFont="1" applyFill="1" applyBorder="1" applyAlignment="1">
      <alignment horizontal="center" vertical="center" wrapText="1"/>
    </xf>
    <xf numFmtId="0" fontId="4" fillId="8" borderId="32" xfId="0" applyFont="1" applyFill="1" applyBorder="1" applyAlignment="1">
      <alignment horizontal="center" vertical="center" wrapText="1"/>
    </xf>
    <xf numFmtId="0" fontId="4" fillId="8" borderId="16" xfId="0" applyFont="1" applyFill="1" applyBorder="1" applyAlignment="1">
      <alignment horizontal="center" vertical="center" wrapText="1"/>
    </xf>
    <xf numFmtId="0" fontId="4" fillId="8" borderId="33" xfId="0" applyFont="1" applyFill="1" applyBorder="1" applyAlignment="1">
      <alignment horizontal="center" vertical="center" wrapText="1"/>
    </xf>
    <xf numFmtId="0" fontId="8" fillId="8" borderId="21" xfId="0" applyFont="1" applyFill="1" applyBorder="1" applyAlignment="1">
      <alignment horizontal="center" vertical="center" wrapText="1"/>
    </xf>
    <xf numFmtId="0" fontId="8" fillId="8" borderId="20" xfId="0" applyFont="1" applyFill="1" applyBorder="1" applyAlignment="1">
      <alignment horizontal="center" vertical="center" wrapText="1"/>
    </xf>
    <xf numFmtId="0" fontId="7" fillId="8" borderId="5" xfId="0" applyFont="1" applyFill="1" applyBorder="1" applyAlignment="1">
      <alignment horizontal="center" vertical="center" wrapText="1"/>
    </xf>
    <xf numFmtId="0" fontId="8" fillId="0" borderId="21" xfId="0" applyFont="1" applyBorder="1" applyAlignment="1">
      <alignment horizontal="center" vertical="center" wrapText="1"/>
    </xf>
    <xf numFmtId="0" fontId="8" fillId="0" borderId="13" xfId="0" applyFont="1" applyBorder="1" applyAlignment="1">
      <alignment horizontal="center" vertical="center" wrapText="1"/>
    </xf>
    <xf numFmtId="0" fontId="12" fillId="0" borderId="4" xfId="0" applyFont="1" applyBorder="1" applyAlignment="1">
      <alignment vertical="top" wrapText="1"/>
    </xf>
    <xf numFmtId="0" fontId="12" fillId="0" borderId="5" xfId="0" applyFont="1" applyBorder="1" applyAlignment="1">
      <alignment vertical="top" wrapText="1"/>
    </xf>
    <xf numFmtId="0" fontId="12" fillId="0" borderId="37" xfId="0" applyFont="1" applyBorder="1" applyAlignment="1">
      <alignment vertical="top" wrapText="1"/>
    </xf>
  </cellXfs>
  <cellStyles count="2">
    <cellStyle name="Normal" xfId="0" builtinId="0"/>
    <cellStyle name="Normal 2" xfId="1" xr:uid="{B702B10D-0D23-47F9-AFEE-608E1A6E3B76}"/>
  </cellStyles>
  <dxfs count="27">
    <dxf>
      <font>
        <color rgb="FF9C0006"/>
      </font>
      <fill>
        <patternFill>
          <bgColor rgb="FFFFC7CE"/>
        </patternFill>
      </fill>
    </dxf>
    <dxf>
      <font>
        <color theme="0"/>
      </font>
      <fill>
        <patternFill patternType="solid">
          <bgColor rgb="FF00B050"/>
        </patternFill>
      </fill>
    </dxf>
    <dxf>
      <fill>
        <patternFill>
          <bgColor theme="9"/>
        </patternFill>
      </fill>
    </dxf>
    <dxf>
      <fill>
        <patternFill>
          <bgColor theme="7"/>
        </patternFill>
      </fill>
    </dxf>
    <dxf>
      <font>
        <color theme="0"/>
      </font>
      <fill>
        <patternFill>
          <bgColor rgb="FFFF0000"/>
        </patternFill>
      </fill>
    </dxf>
    <dxf>
      <fill>
        <patternFill>
          <bgColor theme="9" tint="0.39994506668294322"/>
        </patternFill>
      </fill>
    </dxf>
    <dxf>
      <fill>
        <patternFill>
          <bgColor theme="6" tint="0.39994506668294322"/>
        </patternFill>
      </fill>
    </dxf>
    <dxf>
      <fill>
        <patternFill>
          <bgColor theme="6" tint="0.59996337778862885"/>
        </patternFill>
      </fill>
    </dxf>
    <dxf>
      <fill>
        <patternFill>
          <bgColor theme="8" tint="0.39994506668294322"/>
        </patternFill>
      </fill>
    </dxf>
    <dxf>
      <fill>
        <patternFill>
          <bgColor theme="7" tint="0.39994506668294322"/>
        </patternFill>
      </fill>
    </dxf>
    <dxf>
      <fill>
        <patternFill>
          <bgColor theme="5" tint="0.59996337778862885"/>
        </patternFill>
      </fill>
    </dxf>
    <dxf>
      <font>
        <color theme="0"/>
      </font>
      <fill>
        <patternFill>
          <bgColor rgb="FFFF0000"/>
        </patternFill>
      </fill>
    </dxf>
    <dxf>
      <fill>
        <patternFill>
          <bgColor theme="9" tint="0.39994506668294322"/>
        </patternFill>
      </fill>
    </dxf>
    <dxf>
      <fill>
        <patternFill>
          <bgColor theme="6" tint="0.39994506668294322"/>
        </patternFill>
      </fill>
    </dxf>
    <dxf>
      <fill>
        <patternFill>
          <bgColor theme="6" tint="0.59996337778862885"/>
        </patternFill>
      </fill>
    </dxf>
    <dxf>
      <fill>
        <patternFill>
          <bgColor theme="8" tint="0.39994506668294322"/>
        </patternFill>
      </fill>
    </dxf>
    <dxf>
      <fill>
        <patternFill>
          <bgColor theme="7" tint="0.39994506668294322"/>
        </patternFill>
      </fill>
    </dxf>
    <dxf>
      <fill>
        <patternFill>
          <bgColor theme="5" tint="0.59996337778862885"/>
        </patternFill>
      </fill>
    </dxf>
    <dxf>
      <font>
        <color theme="0"/>
      </font>
      <fill>
        <patternFill>
          <bgColor rgb="FFFF0000"/>
        </patternFill>
      </fill>
    </dxf>
    <dxf>
      <fill>
        <patternFill>
          <bgColor theme="9" tint="0.39994506668294322"/>
        </patternFill>
      </fill>
    </dxf>
    <dxf>
      <fill>
        <patternFill>
          <bgColor theme="6" tint="0.39994506668294322"/>
        </patternFill>
      </fill>
    </dxf>
    <dxf>
      <fill>
        <patternFill>
          <bgColor theme="6" tint="0.59996337778862885"/>
        </patternFill>
      </fill>
    </dxf>
    <dxf>
      <fill>
        <patternFill>
          <bgColor theme="8" tint="0.39994506668294322"/>
        </patternFill>
      </fill>
    </dxf>
    <dxf>
      <font>
        <color theme="0"/>
      </font>
      <fill>
        <patternFill patternType="solid">
          <bgColor theme="9"/>
        </patternFill>
      </fill>
    </dxf>
    <dxf>
      <font>
        <color theme="0"/>
      </font>
      <fill>
        <patternFill patternType="solid">
          <bgColor theme="9"/>
        </patternFill>
      </fill>
    </dxf>
    <dxf>
      <font>
        <color theme="0"/>
      </font>
      <fill>
        <patternFill patternType="solid">
          <bgColor theme="9"/>
        </patternFill>
      </fill>
    </dxf>
    <dxf>
      <font>
        <color theme="0"/>
      </font>
      <fill>
        <patternFill patternType="solid">
          <bgColor theme="9"/>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Mariana Bittar" id="{F968C8E3-F6D2-4FAC-B624-CB9C980274EE}" userId="S::mariana.bittar@sgpiu.org.br::1983f494-82b8-41aa-994b-c12634dfebf0" providerId="AD"/>
  <person displayName="Giovana Pereira" id="{BDA5DC7F-F151-4156-915B-059B48BD096B}" userId="S::giovana.pereira@oppen.social::cf96f269-6439-4756-904c-c23bd611bf60" providerId="AD"/>
  <person displayName="Mariana Vasconcelos" id="{26FE20C7-1FB8-463E-A6E2-A871AA7BDC02}" userId="S::mariana.vasconcelos@oppen.social::a0d7fb27-473c-450b-831b-20d82ba25b8d" providerId="AD"/>
  <person displayName="Mariana Bittar" id="{01F88E9B-11F7-4827-B5D5-44ACD79CFBF4}" userId="S::mariana.bittar@institutounibanco.org.br::1c80226e-bf4b-4784-9983-a80b75c176d5" providerId="AD"/>
</personList>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159" dT="2023-10-10T18:37:58.42" personId="{F968C8E3-F6D2-4FAC-B624-CB9C980274EE}" id="{3FFE8453-3180-45EF-B0E4-429ACBB11CE9}">
    <text>Incluir a alternativa não sei no questionário do ACG</text>
  </threadedComment>
  <threadedComment ref="U183" dT="2023-10-10T19:00:20.80" personId="{F968C8E3-F6D2-4FAC-B624-CB9C980274EE}" id="{3AE8B469-C19F-448D-B090-28BFBF62CB7F}">
    <text>Será que conseguimos inserir esta pergunta nos outros questionários?</text>
  </threadedComment>
  <threadedComment ref="U183" dT="2023-10-10T19:00:58.98" personId="{F968C8E3-F6D2-4FAC-B624-CB9C980274EE}" id="{2992693A-814E-4BD1-9D33-81AC35616AE4}" parentId="{3AE8B469-C19F-448D-B090-28BFBF62CB7F}">
    <text>No da dupla gestora não tera como, mas, podemos perguntar ao ACG. Incluiria tb no do tecnico da SEE</text>
  </threadedComment>
  <threadedComment ref="F198" dT="2023-10-09T15:28:34.55" personId="{BDA5DC7F-F151-4156-915B-059B48BD096B}" id="{D69D3860-0D9A-4F95-BFB5-6EE4B989E9F9}">
    <text>Qual o encaminhamento? Faz sentido perguntar (ou a Secretaria)?</text>
  </threadedComment>
  <threadedComment ref="F198" dT="2023-10-20T13:23:52.89" personId="{01F88E9B-11F7-4827-B5D5-44ACD79CFBF4}" id="{24078334-9657-48AF-8B5C-D6E4BD0F8495}" parentId="{D69D3860-0D9A-4F95-BFB5-6EE4B989E9F9}">
    <text>Tem que perguntar - a SEE realiza o encontro entre regionais e as regionais entre escolas</text>
  </threadedComment>
  <threadedComment ref="U198" dT="2023-10-11T20:10:44.89" personId="{F968C8E3-F6D2-4FAC-B624-CB9C980274EE}" id="{ED81853C-740B-4C42-B40E-C27145F1C255}" done="1">
    <text>Verificar com questionário do ACG</text>
  </threadedComment>
  <threadedComment ref="V198" dT="2023-10-17T15:07:32.86" personId="{F968C8E3-F6D2-4FAC-B624-CB9C980274EE}" id="{DD90783B-D67D-49A3-9260-20D0DD3A55B2}" done="1">
    <text>E que aqui estamos falando de compartilhamento entre regionais</text>
  </threadedComment>
  <threadedComment ref="U333" dT="2023-10-18T18:26:06.03" personId="{26FE20C7-1FB8-463E-A6E2-A871AA7BDC02}" id="{4823DF31-4BC1-48B6-8892-718095B0C8ED}">
    <text>Implementei a sugestão da Mariana Bittar, o que deixou o item diferente do que foi utilizado no ACG. Lembrar de colocar questão dependente com a alternativa 1 do item anterior</text>
  </threadedComment>
  <threadedComment ref="U333" dT="2023-10-20T13:50:20.35" personId="{01F88E9B-11F7-4827-B5D5-44ACD79CFBF4}" id="{DD02F837-B04F-440B-8761-AB39929F5213}" parentId="{4823DF31-4BC1-48B6-8892-718095B0C8ED}">
    <text>Acho que não precisa deixar escolas que os acgs acompanham (está implícito). O que vcs acham?</text>
  </threadedComment>
  <threadedComment ref="U350" dT="2023-10-18T18:28:00.49" personId="{26FE20C7-1FB8-463E-A6E2-A871AA7BDC02}" id="{EBC3B780-730A-4D86-A3DA-1AFAF194DB00}">
    <text>Implementei a sugestão da Mariana Bittar, o que deixou o item diferente do que foi utilizado no ACG. Lembrar de colocar questão dependente com a alternativa 1 do item anterior</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CA13B-38E4-48FD-9908-A3B334BD0E61}">
  <sheetPr>
    <tabColor rgb="FF7030A0"/>
  </sheetPr>
  <dimension ref="A1:B9"/>
  <sheetViews>
    <sheetView showGridLines="0" workbookViewId="0">
      <selection activeCell="B12" sqref="B12"/>
    </sheetView>
  </sheetViews>
  <sheetFormatPr defaultColWidth="9.1796875" defaultRowHeight="13"/>
  <cols>
    <col min="1" max="1" width="32.81640625" style="1" bestFit="1" customWidth="1"/>
    <col min="2" max="2" width="53" style="1" customWidth="1"/>
    <col min="3" max="16384" width="9.1796875" style="1"/>
  </cols>
  <sheetData>
    <row r="1" spans="1:2">
      <c r="A1" s="3" t="s">
        <v>0</v>
      </c>
      <c r="B1" s="3" t="s">
        <v>1</v>
      </c>
    </row>
    <row r="2" spans="1:2">
      <c r="A2" s="2" t="s">
        <v>2</v>
      </c>
      <c r="B2" s="138" t="s">
        <v>3</v>
      </c>
    </row>
    <row r="3" spans="1:2" ht="26">
      <c r="A3" s="2" t="s">
        <v>4</v>
      </c>
      <c r="B3" s="139" t="s">
        <v>5</v>
      </c>
    </row>
    <row r="4" spans="1:2" ht="26">
      <c r="A4" s="2" t="s">
        <v>6</v>
      </c>
      <c r="B4" s="139" t="s">
        <v>7</v>
      </c>
    </row>
    <row r="5" spans="1:2">
      <c r="A5" s="2" t="s">
        <v>8</v>
      </c>
      <c r="B5" s="139" t="s">
        <v>9</v>
      </c>
    </row>
    <row r="6" spans="1:2" ht="26">
      <c r="A6" s="2" t="s">
        <v>10</v>
      </c>
      <c r="B6" s="139" t="s">
        <v>11</v>
      </c>
    </row>
    <row r="7" spans="1:2">
      <c r="A7" s="2" t="s">
        <v>12</v>
      </c>
      <c r="B7" s="139" t="s">
        <v>13</v>
      </c>
    </row>
    <row r="8" spans="1:2" ht="26">
      <c r="A8" s="2" t="s">
        <v>14</v>
      </c>
      <c r="B8" s="139" t="s">
        <v>15</v>
      </c>
    </row>
    <row r="9" spans="1:2">
      <c r="A9" s="6"/>
      <c r="B9" s="11"/>
    </row>
  </sheetData>
  <pageMargins left="0.511811024" right="0.511811024" top="0.78740157499999996" bottom="0.78740157499999996" header="0.31496062000000002" footer="0.31496062000000002"/>
  <headerFooter>
    <oddFooter>&amp;L_x000D_&amp;1#&amp;"Calibri"&amp;10&amp;K000000 Informação Pública - Instituto Unibanco</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6047E-061D-4DB5-94F7-C7A37315B41E}">
  <sheetPr>
    <tabColor rgb="FF002060"/>
  </sheetPr>
  <dimension ref="A1:HH587"/>
  <sheetViews>
    <sheetView showGridLines="0" tabSelected="1" zoomScale="70" zoomScaleNormal="70" workbookViewId="0">
      <pane ySplit="1" topLeftCell="A5" activePane="bottomLeft" state="frozen"/>
      <selection pane="bottomLeft" activeCell="Q5" sqref="Q5:R5"/>
    </sheetView>
  </sheetViews>
  <sheetFormatPr defaultColWidth="8.81640625" defaultRowHeight="14.25" customHeight="1"/>
  <cols>
    <col min="1" max="1" width="12" style="52" customWidth="1"/>
    <col min="2" max="2" width="21.1796875" style="52" customWidth="1"/>
    <col min="3" max="3" width="21.1796875" style="52" hidden="1" customWidth="1"/>
    <col min="4" max="4" width="13" style="169" customWidth="1"/>
    <col min="5" max="5" width="30.26953125" style="170" customWidth="1"/>
    <col min="6" max="6" width="26" style="46" customWidth="1"/>
    <col min="7" max="7" width="59.1796875" style="46" customWidth="1"/>
    <col min="8" max="8" width="22.26953125" style="45" customWidth="1"/>
    <col min="9" max="9" width="5.1796875" style="101" customWidth="1"/>
    <col min="10" max="10" width="48.453125" style="46" customWidth="1"/>
    <col min="11" max="11" width="31.81640625" style="101" customWidth="1"/>
    <col min="12" max="12" width="25.54296875" style="101" customWidth="1"/>
    <col min="13" max="13" width="22" style="101" customWidth="1"/>
    <col min="14" max="14" width="25.54296875" style="180" customWidth="1"/>
    <col min="15" max="16" width="25.54296875" style="133" customWidth="1"/>
    <col min="17" max="18" width="25.54296875" style="12" customWidth="1"/>
    <col min="19" max="19" width="25.54296875" style="17" customWidth="1"/>
    <col min="20" max="20" width="27.54296875" style="17" hidden="1" customWidth="1"/>
    <col min="21" max="21" width="35.7265625" style="17" customWidth="1"/>
    <col min="22" max="25" width="29.81640625" style="17" hidden="1" customWidth="1"/>
    <col min="26" max="16384" width="8.81640625" style="4"/>
  </cols>
  <sheetData>
    <row r="1" spans="1:25" ht="31">
      <c r="A1" s="60" t="s">
        <v>16</v>
      </c>
      <c r="B1" s="60" t="s">
        <v>17</v>
      </c>
      <c r="C1" s="60" t="s">
        <v>18</v>
      </c>
      <c r="D1" s="166" t="s">
        <v>19</v>
      </c>
      <c r="E1" s="173" t="s">
        <v>20</v>
      </c>
      <c r="F1" s="58" t="s">
        <v>21</v>
      </c>
      <c r="G1" s="58" t="s">
        <v>22</v>
      </c>
      <c r="H1" s="84" t="s">
        <v>23</v>
      </c>
      <c r="I1" s="105" t="s">
        <v>24</v>
      </c>
      <c r="J1" s="58" t="s">
        <v>25</v>
      </c>
      <c r="K1" s="105" t="s">
        <v>26</v>
      </c>
      <c r="L1" s="105" t="s">
        <v>27</v>
      </c>
      <c r="M1" s="105" t="s">
        <v>28</v>
      </c>
      <c r="N1" s="175" t="s">
        <v>29</v>
      </c>
      <c r="O1" s="176" t="s">
        <v>30</v>
      </c>
      <c r="P1" s="176" t="s">
        <v>31</v>
      </c>
      <c r="Q1" s="186" t="s">
        <v>32</v>
      </c>
      <c r="R1" s="186" t="s">
        <v>1</v>
      </c>
      <c r="S1" s="20" t="s">
        <v>33</v>
      </c>
      <c r="T1" s="20" t="s">
        <v>0</v>
      </c>
      <c r="U1" s="20" t="s">
        <v>34</v>
      </c>
      <c r="V1" s="20" t="s">
        <v>35</v>
      </c>
      <c r="W1" s="20" t="s">
        <v>36</v>
      </c>
      <c r="X1" s="20" t="s">
        <v>37</v>
      </c>
      <c r="Y1" s="20" t="s">
        <v>38</v>
      </c>
    </row>
    <row r="2" spans="1:25" ht="409.5">
      <c r="A2" s="49" t="s">
        <v>39</v>
      </c>
      <c r="B2" s="49" t="s">
        <v>40</v>
      </c>
      <c r="C2" s="49" t="s">
        <v>40</v>
      </c>
      <c r="D2" s="150">
        <v>1</v>
      </c>
      <c r="E2" s="174" t="s">
        <v>41</v>
      </c>
      <c r="F2" s="15" t="s">
        <v>42</v>
      </c>
      <c r="G2" s="21" t="s">
        <v>43</v>
      </c>
      <c r="H2" s="85" t="s">
        <v>40</v>
      </c>
      <c r="I2" s="106" t="s">
        <v>40</v>
      </c>
      <c r="J2" s="49" t="s">
        <v>40</v>
      </c>
      <c r="K2" s="106" t="s">
        <v>40</v>
      </c>
      <c r="L2" s="106" t="s">
        <v>40</v>
      </c>
      <c r="M2" s="106" t="s">
        <v>40</v>
      </c>
      <c r="N2" s="177" t="s">
        <v>44</v>
      </c>
      <c r="O2" s="177" t="s">
        <v>40</v>
      </c>
      <c r="P2" s="177" t="s">
        <v>45</v>
      </c>
      <c r="Q2" s="185"/>
      <c r="R2" s="185"/>
      <c r="S2" s="54" t="s">
        <v>40</v>
      </c>
      <c r="T2" s="54" t="s">
        <v>40</v>
      </c>
      <c r="U2" s="54" t="s">
        <v>40</v>
      </c>
      <c r="V2" s="22" t="s">
        <v>40</v>
      </c>
      <c r="W2" s="22" t="s">
        <v>40</v>
      </c>
      <c r="X2" s="22" t="s">
        <v>40</v>
      </c>
      <c r="Y2" s="22" t="s">
        <v>40</v>
      </c>
    </row>
    <row r="3" spans="1:25" ht="18" customHeight="1">
      <c r="A3" s="263" t="s">
        <v>40</v>
      </c>
      <c r="B3" s="263" t="s">
        <v>40</v>
      </c>
      <c r="C3" s="263" t="s">
        <v>40</v>
      </c>
      <c r="D3" s="479">
        <v>2</v>
      </c>
      <c r="E3" s="479" t="s">
        <v>46</v>
      </c>
      <c r="F3" s="254" t="s">
        <v>47</v>
      </c>
      <c r="G3" s="314" t="s">
        <v>48</v>
      </c>
      <c r="H3" s="270" t="s">
        <v>40</v>
      </c>
      <c r="I3" s="100">
        <v>1</v>
      </c>
      <c r="J3" s="15" t="s">
        <v>49</v>
      </c>
      <c r="K3" s="271" t="s">
        <v>40</v>
      </c>
      <c r="L3" s="271" t="s">
        <v>40</v>
      </c>
      <c r="M3" s="271" t="s">
        <v>40</v>
      </c>
      <c r="N3" s="510" t="s">
        <v>50</v>
      </c>
      <c r="O3" s="326" t="s">
        <v>51</v>
      </c>
      <c r="P3" s="510" t="s">
        <v>45</v>
      </c>
      <c r="Q3" s="521"/>
      <c r="R3" s="521"/>
      <c r="S3" s="216" t="s">
        <v>40</v>
      </c>
      <c r="T3" s="321" t="s">
        <v>40</v>
      </c>
      <c r="U3" s="218" t="s">
        <v>40</v>
      </c>
      <c r="V3" s="23" t="s">
        <v>40</v>
      </c>
      <c r="W3" s="23" t="s">
        <v>52</v>
      </c>
      <c r="X3" s="23" t="s">
        <v>40</v>
      </c>
      <c r="Y3" s="23" t="s">
        <v>40</v>
      </c>
    </row>
    <row r="4" spans="1:25" ht="15.5">
      <c r="A4" s="263"/>
      <c r="B4" s="263"/>
      <c r="C4" s="263"/>
      <c r="D4" s="479"/>
      <c r="E4" s="479"/>
      <c r="F4" s="254"/>
      <c r="G4" s="316"/>
      <c r="H4" s="270"/>
      <c r="I4" s="100">
        <v>2</v>
      </c>
      <c r="J4" s="15" t="s">
        <v>53</v>
      </c>
      <c r="K4" s="271"/>
      <c r="L4" s="271"/>
      <c r="M4" s="271"/>
      <c r="N4" s="511"/>
      <c r="O4" s="217"/>
      <c r="P4" s="512"/>
      <c r="Q4" s="522"/>
      <c r="R4" s="522"/>
      <c r="S4" s="217"/>
      <c r="T4" s="322"/>
      <c r="U4" s="218"/>
      <c r="V4" s="23" t="s">
        <v>40</v>
      </c>
      <c r="W4" s="23" t="s">
        <v>40</v>
      </c>
      <c r="X4" s="23" t="s">
        <v>40</v>
      </c>
      <c r="Y4" s="23" t="s">
        <v>40</v>
      </c>
    </row>
    <row r="5" spans="1:25" ht="409.5">
      <c r="A5" s="49" t="s">
        <v>40</v>
      </c>
      <c r="B5" s="49" t="s">
        <v>40</v>
      </c>
      <c r="C5" s="49" t="s">
        <v>40</v>
      </c>
      <c r="D5" s="150">
        <v>3</v>
      </c>
      <c r="E5" s="167" t="s">
        <v>54</v>
      </c>
      <c r="F5" s="15" t="s">
        <v>47</v>
      </c>
      <c r="G5" s="15" t="s">
        <v>55</v>
      </c>
      <c r="H5" s="75" t="s">
        <v>56</v>
      </c>
      <c r="I5" s="106" t="s">
        <v>40</v>
      </c>
      <c r="J5" s="49" t="s">
        <v>40</v>
      </c>
      <c r="K5" s="106" t="s">
        <v>46</v>
      </c>
      <c r="L5" s="106">
        <v>1</v>
      </c>
      <c r="M5" s="106" t="s">
        <v>40</v>
      </c>
      <c r="N5" s="177" t="s">
        <v>44</v>
      </c>
      <c r="O5" s="177" t="s">
        <v>40</v>
      </c>
      <c r="P5" s="177" t="s">
        <v>45</v>
      </c>
      <c r="Q5" s="214" t="s">
        <v>57</v>
      </c>
      <c r="R5" s="214" t="s">
        <v>58</v>
      </c>
      <c r="S5" s="54" t="s">
        <v>40</v>
      </c>
      <c r="T5" s="56" t="s">
        <v>40</v>
      </c>
      <c r="U5" s="54"/>
      <c r="V5" s="22" t="s">
        <v>40</v>
      </c>
      <c r="W5" s="22" t="s">
        <v>40</v>
      </c>
      <c r="X5" s="22" t="s">
        <v>40</v>
      </c>
      <c r="Y5" s="22" t="s">
        <v>40</v>
      </c>
    </row>
    <row r="6" spans="1:25" ht="15.5">
      <c r="A6" s="49"/>
      <c r="B6" s="49" t="s">
        <v>40</v>
      </c>
      <c r="C6" s="49" t="s">
        <v>40</v>
      </c>
      <c r="D6" s="150">
        <v>4</v>
      </c>
      <c r="E6" s="150" t="s">
        <v>59</v>
      </c>
      <c r="F6" s="49" t="s">
        <v>40</v>
      </c>
      <c r="G6" s="49" t="s">
        <v>40</v>
      </c>
      <c r="H6" s="85" t="s">
        <v>40</v>
      </c>
      <c r="I6" s="106" t="s">
        <v>40</v>
      </c>
      <c r="J6" s="49" t="s">
        <v>40</v>
      </c>
      <c r="K6" s="106" t="s">
        <v>46</v>
      </c>
      <c r="L6" s="106">
        <v>1</v>
      </c>
      <c r="M6" s="106" t="s">
        <v>40</v>
      </c>
      <c r="N6" s="177" t="s">
        <v>59</v>
      </c>
      <c r="O6" s="177" t="s">
        <v>40</v>
      </c>
      <c r="P6" s="177" t="s">
        <v>45</v>
      </c>
      <c r="Q6" s="185" t="s">
        <v>40</v>
      </c>
      <c r="R6" s="185" t="s">
        <v>40</v>
      </c>
      <c r="S6" s="53" t="s">
        <v>40</v>
      </c>
      <c r="T6" s="54" t="s">
        <v>40</v>
      </c>
      <c r="U6" s="22" t="s">
        <v>40</v>
      </c>
      <c r="V6" s="22" t="s">
        <v>40</v>
      </c>
      <c r="W6" s="22" t="s">
        <v>40</v>
      </c>
      <c r="X6" s="22" t="s">
        <v>40</v>
      </c>
      <c r="Y6" s="22" t="s">
        <v>40</v>
      </c>
    </row>
    <row r="7" spans="1:25" ht="15.5">
      <c r="A7" s="49" t="s">
        <v>40</v>
      </c>
      <c r="B7" s="49" t="s">
        <v>40</v>
      </c>
      <c r="C7" s="49" t="s">
        <v>40</v>
      </c>
      <c r="D7" s="150">
        <v>4</v>
      </c>
      <c r="E7" s="150" t="s">
        <v>60</v>
      </c>
      <c r="F7" s="49" t="s">
        <v>40</v>
      </c>
      <c r="G7" s="15" t="s">
        <v>61</v>
      </c>
      <c r="H7" s="75" t="s">
        <v>40</v>
      </c>
      <c r="I7" s="100" t="s">
        <v>40</v>
      </c>
      <c r="J7" s="15" t="s">
        <v>40</v>
      </c>
      <c r="K7" s="106" t="s">
        <v>46</v>
      </c>
      <c r="L7" s="106">
        <v>1</v>
      </c>
      <c r="M7" s="106" t="s">
        <v>40</v>
      </c>
      <c r="N7" s="178" t="s">
        <v>44</v>
      </c>
      <c r="O7" s="178" t="s">
        <v>40</v>
      </c>
      <c r="P7" s="178" t="s">
        <v>45</v>
      </c>
      <c r="Q7" s="213"/>
      <c r="R7" s="213"/>
      <c r="S7" s="55" t="s">
        <v>40</v>
      </c>
      <c r="T7" s="40" t="s">
        <v>40</v>
      </c>
      <c r="U7" s="23" t="s">
        <v>40</v>
      </c>
      <c r="V7" s="23" t="s">
        <v>40</v>
      </c>
      <c r="W7" s="23" t="s">
        <v>40</v>
      </c>
      <c r="X7" s="23" t="s">
        <v>40</v>
      </c>
      <c r="Y7" s="23" t="s">
        <v>40</v>
      </c>
    </row>
    <row r="8" spans="1:25" ht="31">
      <c r="A8" s="49" t="s">
        <v>40</v>
      </c>
      <c r="B8" s="49" t="s">
        <v>40</v>
      </c>
      <c r="C8" s="49" t="s">
        <v>40</v>
      </c>
      <c r="D8" s="150">
        <v>4</v>
      </c>
      <c r="E8" s="150" t="s">
        <v>62</v>
      </c>
      <c r="F8" s="49" t="s">
        <v>40</v>
      </c>
      <c r="G8" s="15" t="s">
        <v>63</v>
      </c>
      <c r="H8" s="75" t="s">
        <v>64</v>
      </c>
      <c r="I8" s="100" t="s">
        <v>40</v>
      </c>
      <c r="J8" s="15" t="s">
        <v>40</v>
      </c>
      <c r="K8" s="106" t="s">
        <v>65</v>
      </c>
      <c r="L8" s="106">
        <v>1</v>
      </c>
      <c r="M8" s="106" t="s">
        <v>40</v>
      </c>
      <c r="N8" s="178" t="s">
        <v>66</v>
      </c>
      <c r="O8" s="178" t="s">
        <v>51</v>
      </c>
      <c r="P8" s="178"/>
      <c r="Q8" s="187" t="s">
        <v>40</v>
      </c>
      <c r="R8" s="188" t="s">
        <v>40</v>
      </c>
      <c r="S8" s="55" t="s">
        <v>40</v>
      </c>
      <c r="T8" s="40" t="s">
        <v>40</v>
      </c>
      <c r="U8" s="23" t="s">
        <v>40</v>
      </c>
      <c r="V8" s="23" t="s">
        <v>40</v>
      </c>
      <c r="W8" s="23" t="s">
        <v>67</v>
      </c>
      <c r="X8" s="23" t="s">
        <v>40</v>
      </c>
      <c r="Y8" s="23" t="s">
        <v>40</v>
      </c>
    </row>
    <row r="9" spans="1:25" ht="15" customHeight="1">
      <c r="A9" s="263" t="s">
        <v>40</v>
      </c>
      <c r="B9" s="263" t="s">
        <v>40</v>
      </c>
      <c r="C9" s="263" t="s">
        <v>40</v>
      </c>
      <c r="D9" s="479">
        <v>4</v>
      </c>
      <c r="E9" s="479" t="s">
        <v>68</v>
      </c>
      <c r="F9" s="263" t="s">
        <v>40</v>
      </c>
      <c r="G9" s="254" t="s">
        <v>69</v>
      </c>
      <c r="H9" s="270" t="s">
        <v>40</v>
      </c>
      <c r="I9" s="100">
        <v>1</v>
      </c>
      <c r="J9" s="15" t="s">
        <v>70</v>
      </c>
      <c r="K9" s="271" t="s">
        <v>46</v>
      </c>
      <c r="L9" s="271">
        <v>1</v>
      </c>
      <c r="M9" s="271" t="s">
        <v>40</v>
      </c>
      <c r="N9" s="510" t="s">
        <v>50</v>
      </c>
      <c r="O9" s="326" t="s">
        <v>51</v>
      </c>
      <c r="P9" s="510" t="s">
        <v>45</v>
      </c>
      <c r="Q9" s="521" t="s">
        <v>40</v>
      </c>
      <c r="R9" s="521" t="s">
        <v>40</v>
      </c>
      <c r="S9" s="321" t="s">
        <v>40</v>
      </c>
      <c r="T9" s="321" t="s">
        <v>40</v>
      </c>
      <c r="U9" s="321" t="s">
        <v>40</v>
      </c>
      <c r="V9" s="321" t="s">
        <v>40</v>
      </c>
      <c r="W9" s="321" t="s">
        <v>40</v>
      </c>
      <c r="X9" s="321" t="s">
        <v>40</v>
      </c>
      <c r="Y9" s="321" t="s">
        <v>40</v>
      </c>
    </row>
    <row r="10" spans="1:25" ht="15.5">
      <c r="A10" s="263"/>
      <c r="B10" s="263"/>
      <c r="C10" s="263"/>
      <c r="D10" s="479"/>
      <c r="E10" s="479"/>
      <c r="F10" s="263"/>
      <c r="G10" s="254"/>
      <c r="H10" s="270"/>
      <c r="I10" s="100">
        <v>2</v>
      </c>
      <c r="J10" s="15" t="s">
        <v>71</v>
      </c>
      <c r="K10" s="271"/>
      <c r="L10" s="271"/>
      <c r="M10" s="271"/>
      <c r="N10" s="510"/>
      <c r="O10" s="326"/>
      <c r="P10" s="510"/>
      <c r="Q10" s="521"/>
      <c r="R10" s="521"/>
      <c r="S10" s="321"/>
      <c r="T10" s="321"/>
      <c r="U10" s="321"/>
      <c r="V10" s="321"/>
      <c r="W10" s="321"/>
      <c r="X10" s="321"/>
      <c r="Y10" s="321"/>
    </row>
    <row r="11" spans="1:25" ht="15.5">
      <c r="A11" s="263"/>
      <c r="B11" s="263"/>
      <c r="C11" s="263"/>
      <c r="D11" s="479"/>
      <c r="E11" s="479"/>
      <c r="F11" s="263"/>
      <c r="G11" s="254"/>
      <c r="H11" s="270"/>
      <c r="I11" s="100">
        <v>3</v>
      </c>
      <c r="J11" s="15" t="s">
        <v>72</v>
      </c>
      <c r="K11" s="271"/>
      <c r="L11" s="271"/>
      <c r="M11" s="271"/>
      <c r="N11" s="510"/>
      <c r="O11" s="326"/>
      <c r="P11" s="510"/>
      <c r="Q11" s="521"/>
      <c r="R11" s="521"/>
      <c r="S11" s="321"/>
      <c r="T11" s="321"/>
      <c r="U11" s="321"/>
      <c r="V11" s="321"/>
      <c r="W11" s="321"/>
      <c r="X11" s="321"/>
      <c r="Y11" s="321"/>
    </row>
    <row r="12" spans="1:25" ht="15.5">
      <c r="A12" s="263"/>
      <c r="B12" s="263"/>
      <c r="C12" s="263"/>
      <c r="D12" s="479"/>
      <c r="E12" s="479"/>
      <c r="F12" s="263"/>
      <c r="G12" s="254"/>
      <c r="H12" s="270"/>
      <c r="I12" s="100">
        <v>4</v>
      </c>
      <c r="J12" s="15" t="s">
        <v>73</v>
      </c>
      <c r="K12" s="271"/>
      <c r="L12" s="271"/>
      <c r="M12" s="271"/>
      <c r="N12" s="510"/>
      <c r="O12" s="326"/>
      <c r="P12" s="510"/>
      <c r="Q12" s="521"/>
      <c r="R12" s="521"/>
      <c r="S12" s="321"/>
      <c r="T12" s="321"/>
      <c r="U12" s="321"/>
      <c r="V12" s="321"/>
      <c r="W12" s="321"/>
      <c r="X12" s="321"/>
      <c r="Y12" s="321"/>
    </row>
    <row r="13" spans="1:25" ht="15.5">
      <c r="A13" s="263"/>
      <c r="B13" s="263"/>
      <c r="C13" s="263"/>
      <c r="D13" s="479"/>
      <c r="E13" s="479"/>
      <c r="F13" s="263"/>
      <c r="G13" s="254"/>
      <c r="H13" s="270"/>
      <c r="I13" s="100">
        <v>5</v>
      </c>
      <c r="J13" s="15" t="s">
        <v>74</v>
      </c>
      <c r="K13" s="271"/>
      <c r="L13" s="271"/>
      <c r="M13" s="271"/>
      <c r="N13" s="510"/>
      <c r="O13" s="326"/>
      <c r="P13" s="510"/>
      <c r="Q13" s="521"/>
      <c r="R13" s="521"/>
      <c r="S13" s="321"/>
      <c r="T13" s="321"/>
      <c r="U13" s="321"/>
      <c r="V13" s="321"/>
      <c r="W13" s="321"/>
      <c r="X13" s="321"/>
      <c r="Y13" s="321"/>
    </row>
    <row r="14" spans="1:25" ht="15.5">
      <c r="A14" s="263"/>
      <c r="B14" s="263"/>
      <c r="C14" s="263"/>
      <c r="D14" s="479"/>
      <c r="E14" s="479"/>
      <c r="F14" s="263"/>
      <c r="G14" s="254"/>
      <c r="H14" s="270"/>
      <c r="I14" s="100">
        <v>6</v>
      </c>
      <c r="J14" s="15" t="s">
        <v>75</v>
      </c>
      <c r="K14" s="271"/>
      <c r="L14" s="271"/>
      <c r="M14" s="271"/>
      <c r="N14" s="510"/>
      <c r="O14" s="326"/>
      <c r="P14" s="510"/>
      <c r="Q14" s="521"/>
      <c r="R14" s="521"/>
      <c r="S14" s="321"/>
      <c r="T14" s="321"/>
      <c r="U14" s="321"/>
      <c r="V14" s="321"/>
      <c r="W14" s="321"/>
      <c r="X14" s="321"/>
      <c r="Y14" s="321"/>
    </row>
    <row r="15" spans="1:25" ht="15.5">
      <c r="A15" s="263"/>
      <c r="B15" s="263"/>
      <c r="C15" s="263"/>
      <c r="D15" s="479"/>
      <c r="E15" s="479"/>
      <c r="F15" s="263"/>
      <c r="G15" s="254"/>
      <c r="H15" s="270"/>
      <c r="I15" s="100">
        <v>7</v>
      </c>
      <c r="J15" s="15" t="s">
        <v>76</v>
      </c>
      <c r="K15" s="271"/>
      <c r="L15" s="271"/>
      <c r="M15" s="271"/>
      <c r="N15" s="510"/>
      <c r="O15" s="326"/>
      <c r="P15" s="510"/>
      <c r="Q15" s="521"/>
      <c r="R15" s="521"/>
      <c r="S15" s="321"/>
      <c r="T15" s="321"/>
      <c r="U15" s="321"/>
      <c r="V15" s="321"/>
      <c r="W15" s="321"/>
      <c r="X15" s="321"/>
      <c r="Y15" s="321"/>
    </row>
    <row r="16" spans="1:25" ht="15.5">
      <c r="A16" s="263"/>
      <c r="B16" s="263"/>
      <c r="C16" s="263"/>
      <c r="D16" s="479"/>
      <c r="E16" s="479"/>
      <c r="F16" s="263"/>
      <c r="G16" s="254"/>
      <c r="H16" s="270"/>
      <c r="I16" s="100">
        <v>8</v>
      </c>
      <c r="J16" s="15" t="s">
        <v>77</v>
      </c>
      <c r="K16" s="271"/>
      <c r="L16" s="271"/>
      <c r="M16" s="271"/>
      <c r="N16" s="510"/>
      <c r="O16" s="326"/>
      <c r="P16" s="510"/>
      <c r="Q16" s="521"/>
      <c r="R16" s="521"/>
      <c r="S16" s="321"/>
      <c r="T16" s="321"/>
      <c r="U16" s="321"/>
      <c r="V16" s="321"/>
      <c r="W16" s="321"/>
      <c r="X16" s="321"/>
      <c r="Y16" s="321"/>
    </row>
    <row r="17" spans="1:25" ht="15.5">
      <c r="A17" s="263"/>
      <c r="B17" s="263"/>
      <c r="C17" s="263"/>
      <c r="D17" s="479"/>
      <c r="E17" s="479"/>
      <c r="F17" s="263"/>
      <c r="G17" s="254"/>
      <c r="H17" s="270"/>
      <c r="I17" s="100">
        <v>9</v>
      </c>
      <c r="J17" s="15" t="s">
        <v>78</v>
      </c>
      <c r="K17" s="271"/>
      <c r="L17" s="271"/>
      <c r="M17" s="271"/>
      <c r="N17" s="511"/>
      <c r="O17" s="217"/>
      <c r="P17" s="512"/>
      <c r="Q17" s="522"/>
      <c r="R17" s="522"/>
      <c r="S17" s="327"/>
      <c r="T17" s="322"/>
      <c r="U17" s="322"/>
      <c r="V17" s="322"/>
      <c r="W17" s="322"/>
      <c r="X17" s="322"/>
      <c r="Y17" s="322"/>
    </row>
    <row r="18" spans="1:25" ht="18" customHeight="1">
      <c r="A18" s="263" t="s">
        <v>40</v>
      </c>
      <c r="B18" s="263" t="s">
        <v>40</v>
      </c>
      <c r="C18" s="263" t="s">
        <v>40</v>
      </c>
      <c r="D18" s="479">
        <v>4</v>
      </c>
      <c r="E18" s="479" t="s">
        <v>79</v>
      </c>
      <c r="F18" s="263" t="s">
        <v>40</v>
      </c>
      <c r="G18" s="254" t="s">
        <v>80</v>
      </c>
      <c r="H18" s="270" t="s">
        <v>40</v>
      </c>
      <c r="I18" s="100">
        <v>1</v>
      </c>
      <c r="J18" s="15" t="s">
        <v>81</v>
      </c>
      <c r="K18" s="271" t="s">
        <v>65</v>
      </c>
      <c r="L18" s="271">
        <v>1</v>
      </c>
      <c r="M18" s="271" t="s">
        <v>40</v>
      </c>
      <c r="N18" s="510" t="s">
        <v>50</v>
      </c>
      <c r="O18" s="326" t="s">
        <v>51</v>
      </c>
      <c r="P18" s="510" t="s">
        <v>45</v>
      </c>
      <c r="Q18" s="521" t="s">
        <v>40</v>
      </c>
      <c r="R18" s="521" t="s">
        <v>40</v>
      </c>
      <c r="S18" s="321" t="s">
        <v>40</v>
      </c>
      <c r="T18" s="321" t="s">
        <v>40</v>
      </c>
      <c r="U18" s="321" t="s">
        <v>40</v>
      </c>
      <c r="V18" s="321" t="s">
        <v>40</v>
      </c>
      <c r="W18" s="321" t="s">
        <v>40</v>
      </c>
      <c r="X18" s="321" t="s">
        <v>40</v>
      </c>
      <c r="Y18" s="321" t="s">
        <v>40</v>
      </c>
    </row>
    <row r="19" spans="1:25" ht="18" customHeight="1">
      <c r="A19" s="263"/>
      <c r="B19" s="263"/>
      <c r="C19" s="263"/>
      <c r="D19" s="479"/>
      <c r="E19" s="479"/>
      <c r="F19" s="263"/>
      <c r="G19" s="254"/>
      <c r="H19" s="270"/>
      <c r="I19" s="100">
        <v>2</v>
      </c>
      <c r="J19" s="15" t="s">
        <v>82</v>
      </c>
      <c r="K19" s="271"/>
      <c r="L19" s="271"/>
      <c r="M19" s="271"/>
      <c r="N19" s="510"/>
      <c r="O19" s="326"/>
      <c r="P19" s="510"/>
      <c r="Q19" s="521"/>
      <c r="R19" s="521"/>
      <c r="S19" s="321"/>
      <c r="T19" s="321"/>
      <c r="U19" s="321"/>
      <c r="V19" s="321"/>
      <c r="W19" s="321"/>
      <c r="X19" s="321"/>
      <c r="Y19" s="321"/>
    </row>
    <row r="20" spans="1:25" ht="15.5">
      <c r="A20" s="263"/>
      <c r="B20" s="263"/>
      <c r="C20" s="263"/>
      <c r="D20" s="479"/>
      <c r="E20" s="479"/>
      <c r="F20" s="263"/>
      <c r="G20" s="254"/>
      <c r="H20" s="270"/>
      <c r="I20" s="100">
        <v>77</v>
      </c>
      <c r="J20" s="15" t="s">
        <v>83</v>
      </c>
      <c r="K20" s="271"/>
      <c r="L20" s="271"/>
      <c r="M20" s="271"/>
      <c r="N20" s="511"/>
      <c r="O20" s="217"/>
      <c r="P20" s="512"/>
      <c r="Q20" s="522"/>
      <c r="R20" s="522"/>
      <c r="S20" s="327"/>
      <c r="T20" s="322"/>
      <c r="U20" s="322"/>
      <c r="V20" s="322"/>
      <c r="W20" s="322"/>
      <c r="X20" s="322"/>
      <c r="Y20" s="322"/>
    </row>
    <row r="21" spans="1:25" ht="15" customHeight="1">
      <c r="A21" s="263" t="s">
        <v>40</v>
      </c>
      <c r="B21" s="263" t="s">
        <v>40</v>
      </c>
      <c r="C21" s="263" t="s">
        <v>40</v>
      </c>
      <c r="D21" s="479">
        <v>4</v>
      </c>
      <c r="E21" s="479" t="s">
        <v>84</v>
      </c>
      <c r="F21" s="263" t="s">
        <v>40</v>
      </c>
      <c r="G21" s="254" t="s">
        <v>85</v>
      </c>
      <c r="H21" s="270" t="s">
        <v>40</v>
      </c>
      <c r="I21" s="100">
        <v>1</v>
      </c>
      <c r="J21" s="15" t="s">
        <v>86</v>
      </c>
      <c r="K21" s="271" t="s">
        <v>46</v>
      </c>
      <c r="L21" s="271">
        <v>1</v>
      </c>
      <c r="M21" s="271" t="s">
        <v>40</v>
      </c>
      <c r="N21" s="510" t="s">
        <v>50</v>
      </c>
      <c r="O21" s="326" t="s">
        <v>51</v>
      </c>
      <c r="P21" s="510" t="s">
        <v>45</v>
      </c>
      <c r="Q21" s="521"/>
      <c r="R21" s="521"/>
      <c r="S21" s="321" t="s">
        <v>40</v>
      </c>
      <c r="T21" s="321" t="s">
        <v>40</v>
      </c>
      <c r="U21" s="321" t="s">
        <v>40</v>
      </c>
      <c r="V21" s="321" t="s">
        <v>40</v>
      </c>
      <c r="W21" s="321" t="s">
        <v>40</v>
      </c>
      <c r="X21" s="321" t="s">
        <v>40</v>
      </c>
      <c r="Y21" s="321" t="s">
        <v>40</v>
      </c>
    </row>
    <row r="22" spans="1:25" ht="15" customHeight="1">
      <c r="A22" s="263"/>
      <c r="B22" s="263"/>
      <c r="C22" s="263"/>
      <c r="D22" s="479"/>
      <c r="E22" s="479"/>
      <c r="F22" s="263"/>
      <c r="G22" s="254"/>
      <c r="H22" s="270"/>
      <c r="I22" s="100">
        <v>2</v>
      </c>
      <c r="J22" s="15" t="s">
        <v>87</v>
      </c>
      <c r="K22" s="271"/>
      <c r="L22" s="271"/>
      <c r="M22" s="271"/>
      <c r="N22" s="510"/>
      <c r="O22" s="326"/>
      <c r="P22" s="510"/>
      <c r="Q22" s="521"/>
      <c r="R22" s="521"/>
      <c r="S22" s="321"/>
      <c r="T22" s="321"/>
      <c r="U22" s="321"/>
      <c r="V22" s="321"/>
      <c r="W22" s="321"/>
      <c r="X22" s="321"/>
      <c r="Y22" s="321"/>
    </row>
    <row r="23" spans="1:25" ht="15" customHeight="1">
      <c r="A23" s="263"/>
      <c r="B23" s="263"/>
      <c r="C23" s="263"/>
      <c r="D23" s="479"/>
      <c r="E23" s="479"/>
      <c r="F23" s="263"/>
      <c r="G23" s="254"/>
      <c r="H23" s="270"/>
      <c r="I23" s="100">
        <v>3</v>
      </c>
      <c r="J23" s="15" t="s">
        <v>88</v>
      </c>
      <c r="K23" s="271"/>
      <c r="L23" s="271"/>
      <c r="M23" s="271"/>
      <c r="N23" s="510"/>
      <c r="O23" s="326"/>
      <c r="P23" s="510"/>
      <c r="Q23" s="521"/>
      <c r="R23" s="521"/>
      <c r="S23" s="321"/>
      <c r="T23" s="321"/>
      <c r="U23" s="321"/>
      <c r="V23" s="321"/>
      <c r="W23" s="321"/>
      <c r="X23" s="321"/>
      <c r="Y23" s="321"/>
    </row>
    <row r="24" spans="1:25" ht="15" customHeight="1">
      <c r="A24" s="263"/>
      <c r="B24" s="263"/>
      <c r="C24" s="263"/>
      <c r="D24" s="479"/>
      <c r="E24" s="479"/>
      <c r="F24" s="263"/>
      <c r="G24" s="254"/>
      <c r="H24" s="270"/>
      <c r="I24" s="100">
        <v>4</v>
      </c>
      <c r="J24" s="15" t="s">
        <v>89</v>
      </c>
      <c r="K24" s="271"/>
      <c r="L24" s="271"/>
      <c r="M24" s="271"/>
      <c r="N24" s="511"/>
      <c r="O24" s="217"/>
      <c r="P24" s="512"/>
      <c r="Q24" s="522"/>
      <c r="R24" s="522"/>
      <c r="S24" s="327"/>
      <c r="T24" s="322"/>
      <c r="U24" s="322"/>
      <c r="V24" s="322"/>
      <c r="W24" s="322"/>
      <c r="X24" s="322"/>
      <c r="Y24" s="322"/>
    </row>
    <row r="25" spans="1:25" ht="31">
      <c r="A25" s="49" t="s">
        <v>40</v>
      </c>
      <c r="B25" s="49" t="s">
        <v>40</v>
      </c>
      <c r="C25" s="49" t="s">
        <v>40</v>
      </c>
      <c r="D25" s="150">
        <v>4</v>
      </c>
      <c r="E25" s="150" t="s">
        <v>90</v>
      </c>
      <c r="F25" s="49" t="s">
        <v>40</v>
      </c>
      <c r="G25" s="15" t="s">
        <v>91</v>
      </c>
      <c r="H25" s="75" t="s">
        <v>40</v>
      </c>
      <c r="I25" s="100" t="s">
        <v>40</v>
      </c>
      <c r="J25" s="15" t="s">
        <v>92</v>
      </c>
      <c r="K25" s="106" t="s">
        <v>65</v>
      </c>
      <c r="L25" s="106">
        <v>1</v>
      </c>
      <c r="M25" s="106" t="s">
        <v>40</v>
      </c>
      <c r="N25" s="178" t="s">
        <v>50</v>
      </c>
      <c r="O25" s="178" t="s">
        <v>51</v>
      </c>
      <c r="P25" s="178" t="s">
        <v>45</v>
      </c>
      <c r="Q25" s="207"/>
      <c r="R25" s="207"/>
      <c r="S25" s="55" t="s">
        <v>40</v>
      </c>
      <c r="T25" s="38" t="s">
        <v>40</v>
      </c>
      <c r="U25" s="23" t="s">
        <v>40</v>
      </c>
      <c r="V25" s="23" t="s">
        <v>40</v>
      </c>
      <c r="W25" s="23" t="s">
        <v>40</v>
      </c>
      <c r="X25" s="23" t="s">
        <v>40</v>
      </c>
      <c r="Y25" s="23" t="s">
        <v>40</v>
      </c>
    </row>
    <row r="26" spans="1:25" ht="44.25" customHeight="1">
      <c r="A26" s="15" t="s">
        <v>39</v>
      </c>
      <c r="B26" s="15" t="s">
        <v>39</v>
      </c>
      <c r="C26" s="202"/>
      <c r="D26" s="167">
        <v>5</v>
      </c>
      <c r="E26" s="167" t="s">
        <v>93</v>
      </c>
      <c r="F26" s="205" t="s">
        <v>94</v>
      </c>
      <c r="G26" s="15" t="s">
        <v>95</v>
      </c>
      <c r="H26" s="75" t="s">
        <v>96</v>
      </c>
      <c r="I26" s="100" t="s">
        <v>40</v>
      </c>
      <c r="J26" s="15"/>
      <c r="K26" s="100" t="s">
        <v>46</v>
      </c>
      <c r="L26" s="100">
        <v>1</v>
      </c>
      <c r="M26" s="100" t="s">
        <v>40</v>
      </c>
      <c r="N26" s="179" t="s">
        <v>97</v>
      </c>
      <c r="O26" s="179" t="s">
        <v>51</v>
      </c>
      <c r="P26" s="179" t="s">
        <v>66</v>
      </c>
      <c r="Q26" s="189"/>
      <c r="R26" s="189"/>
      <c r="S26" s="21"/>
      <c r="T26" s="21" t="s">
        <v>40</v>
      </c>
      <c r="U26" s="37"/>
      <c r="V26" s="206"/>
      <c r="W26" s="206"/>
      <c r="X26" s="206"/>
      <c r="Y26" s="36"/>
    </row>
    <row r="27" spans="1:25" ht="31">
      <c r="A27" s="248"/>
      <c r="B27" s="248"/>
      <c r="C27" s="248"/>
      <c r="D27" s="349">
        <v>5</v>
      </c>
      <c r="E27" s="349" t="s">
        <v>98</v>
      </c>
      <c r="F27" s="623" t="s">
        <v>99</v>
      </c>
      <c r="G27" s="428" t="s">
        <v>100</v>
      </c>
      <c r="H27" s="248"/>
      <c r="I27" s="100">
        <v>1</v>
      </c>
      <c r="J27" s="15" t="s">
        <v>101</v>
      </c>
      <c r="K27" s="248" t="s">
        <v>65</v>
      </c>
      <c r="L27" s="248">
        <v>1</v>
      </c>
      <c r="M27" s="248"/>
      <c r="N27" s="248" t="s">
        <v>50</v>
      </c>
      <c r="O27" s="248" t="s">
        <v>51</v>
      </c>
      <c r="P27" s="633" t="s">
        <v>45</v>
      </c>
      <c r="Q27" s="219"/>
      <c r="R27" s="219"/>
      <c r="S27" s="220"/>
      <c r="T27" s="95"/>
      <c r="U27" s="220"/>
      <c r="V27" s="338"/>
      <c r="W27" s="338"/>
      <c r="X27" s="338"/>
      <c r="Y27" s="338"/>
    </row>
    <row r="28" spans="1:25" ht="31">
      <c r="A28" s="249"/>
      <c r="B28" s="249"/>
      <c r="C28" s="249"/>
      <c r="D28" s="350"/>
      <c r="E28" s="350"/>
      <c r="F28" s="624"/>
      <c r="G28" s="429"/>
      <c r="H28" s="249"/>
      <c r="I28" s="100">
        <v>2</v>
      </c>
      <c r="J28" s="15" t="s">
        <v>102</v>
      </c>
      <c r="K28" s="249"/>
      <c r="L28" s="249"/>
      <c r="M28" s="249"/>
      <c r="N28" s="249"/>
      <c r="O28" s="249"/>
      <c r="P28" s="634"/>
      <c r="Q28" s="219"/>
      <c r="R28" s="219"/>
      <c r="S28" s="221"/>
      <c r="T28" s="95"/>
      <c r="U28" s="221"/>
      <c r="V28" s="338"/>
      <c r="W28" s="338"/>
      <c r="X28" s="338"/>
      <c r="Y28" s="338"/>
    </row>
    <row r="29" spans="1:25" ht="15.5">
      <c r="A29" s="250"/>
      <c r="B29" s="250"/>
      <c r="C29" s="250"/>
      <c r="D29" s="351"/>
      <c r="E29" s="351"/>
      <c r="F29" s="625"/>
      <c r="G29" s="430"/>
      <c r="H29" s="250"/>
      <c r="I29" s="100">
        <v>3</v>
      </c>
      <c r="J29" s="15" t="s">
        <v>103</v>
      </c>
      <c r="K29" s="250"/>
      <c r="L29" s="250"/>
      <c r="M29" s="250"/>
      <c r="N29" s="250"/>
      <c r="O29" s="250"/>
      <c r="P29" s="635"/>
      <c r="Q29" s="219"/>
      <c r="R29" s="219"/>
      <c r="S29" s="222"/>
      <c r="T29" s="95"/>
      <c r="U29" s="222"/>
      <c r="V29" s="338"/>
      <c r="W29" s="338"/>
      <c r="X29" s="338"/>
      <c r="Y29" s="338"/>
    </row>
    <row r="30" spans="1:25" ht="15" customHeight="1">
      <c r="A30" s="263" t="s">
        <v>40</v>
      </c>
      <c r="B30" s="263" t="s">
        <v>40</v>
      </c>
      <c r="C30" s="263" t="s">
        <v>40</v>
      </c>
      <c r="D30" s="479">
        <v>5</v>
      </c>
      <c r="E30" s="479" t="s">
        <v>104</v>
      </c>
      <c r="F30" s="263" t="s">
        <v>40</v>
      </c>
      <c r="G30" s="254" t="s">
        <v>105</v>
      </c>
      <c r="H30" s="270" t="s">
        <v>40</v>
      </c>
      <c r="I30" s="100">
        <v>1</v>
      </c>
      <c r="J30" s="15" t="s">
        <v>106</v>
      </c>
      <c r="K30" s="271" t="s">
        <v>46</v>
      </c>
      <c r="L30" s="271">
        <v>1</v>
      </c>
      <c r="M30" s="271" t="s">
        <v>40</v>
      </c>
      <c r="N30" s="510" t="s">
        <v>50</v>
      </c>
      <c r="O30" s="326" t="s">
        <v>51</v>
      </c>
      <c r="P30" s="510" t="s">
        <v>45</v>
      </c>
      <c r="Q30" s="521" t="s">
        <v>40</v>
      </c>
      <c r="R30" s="521" t="s">
        <v>40</v>
      </c>
      <c r="S30" s="321" t="s">
        <v>40</v>
      </c>
      <c r="T30" s="321" t="s">
        <v>40</v>
      </c>
      <c r="U30" s="320" t="s">
        <v>40</v>
      </c>
      <c r="V30" s="320" t="s">
        <v>40</v>
      </c>
      <c r="W30" s="320"/>
      <c r="X30" s="320" t="s">
        <v>40</v>
      </c>
      <c r="Y30" s="320" t="s">
        <v>40</v>
      </c>
    </row>
    <row r="31" spans="1:25" ht="15.5">
      <c r="A31" s="263"/>
      <c r="B31" s="263"/>
      <c r="C31" s="263"/>
      <c r="D31" s="479"/>
      <c r="E31" s="479"/>
      <c r="F31" s="263"/>
      <c r="G31" s="254"/>
      <c r="H31" s="270"/>
      <c r="I31" s="100">
        <v>2</v>
      </c>
      <c r="J31" s="15" t="s">
        <v>107</v>
      </c>
      <c r="K31" s="271"/>
      <c r="L31" s="271"/>
      <c r="M31" s="271"/>
      <c r="N31" s="510"/>
      <c r="O31" s="326"/>
      <c r="P31" s="510"/>
      <c r="Q31" s="521"/>
      <c r="R31" s="521"/>
      <c r="S31" s="321"/>
      <c r="T31" s="321"/>
      <c r="U31" s="321"/>
      <c r="V31" s="321"/>
      <c r="W31" s="321"/>
      <c r="X31" s="321"/>
      <c r="Y31" s="321"/>
    </row>
    <row r="32" spans="1:25" ht="15.5">
      <c r="A32" s="263"/>
      <c r="B32" s="263"/>
      <c r="C32" s="263"/>
      <c r="D32" s="479"/>
      <c r="E32" s="479"/>
      <c r="F32" s="263"/>
      <c r="G32" s="254"/>
      <c r="H32" s="270"/>
      <c r="I32" s="100">
        <v>3</v>
      </c>
      <c r="J32" s="15" t="s">
        <v>108</v>
      </c>
      <c r="K32" s="271"/>
      <c r="L32" s="271"/>
      <c r="M32" s="271"/>
      <c r="N32" s="510"/>
      <c r="O32" s="326"/>
      <c r="P32" s="510"/>
      <c r="Q32" s="521"/>
      <c r="R32" s="521"/>
      <c r="S32" s="321"/>
      <c r="T32" s="321"/>
      <c r="U32" s="321"/>
      <c r="V32" s="321"/>
      <c r="W32" s="321"/>
      <c r="X32" s="321"/>
      <c r="Y32" s="321"/>
    </row>
    <row r="33" spans="1:25" ht="15.5">
      <c r="A33" s="263"/>
      <c r="B33" s="263"/>
      <c r="C33" s="263"/>
      <c r="D33" s="479"/>
      <c r="E33" s="479"/>
      <c r="F33" s="263"/>
      <c r="G33" s="254"/>
      <c r="H33" s="270"/>
      <c r="I33" s="100">
        <v>4</v>
      </c>
      <c r="J33" s="15" t="s">
        <v>109</v>
      </c>
      <c r="K33" s="271"/>
      <c r="L33" s="271"/>
      <c r="M33" s="271"/>
      <c r="N33" s="511"/>
      <c r="O33" s="217"/>
      <c r="P33" s="512"/>
      <c r="Q33" s="522"/>
      <c r="R33" s="522"/>
      <c r="S33" s="327"/>
      <c r="T33" s="322"/>
      <c r="U33" s="322"/>
      <c r="V33" s="322"/>
      <c r="W33" s="322"/>
      <c r="X33" s="322"/>
      <c r="Y33" s="322"/>
    </row>
    <row r="34" spans="1:25" ht="168">
      <c r="D34" s="169">
        <v>6</v>
      </c>
      <c r="E34" s="170" t="s">
        <v>110</v>
      </c>
      <c r="G34" s="44" t="s">
        <v>111</v>
      </c>
      <c r="K34" s="101" t="s">
        <v>65</v>
      </c>
      <c r="L34" s="101">
        <v>1</v>
      </c>
      <c r="N34" s="180" t="s">
        <v>44</v>
      </c>
      <c r="P34" s="133" t="s">
        <v>45</v>
      </c>
      <c r="Q34" s="210"/>
      <c r="R34" s="210"/>
    </row>
    <row r="35" spans="1:25" ht="17.25" customHeight="1">
      <c r="A35" s="223" t="s">
        <v>112</v>
      </c>
      <c r="B35" s="223" t="s">
        <v>113</v>
      </c>
      <c r="C35" s="223" t="s">
        <v>114</v>
      </c>
      <c r="D35" s="224">
        <v>6</v>
      </c>
      <c r="E35" s="224" t="s">
        <v>115</v>
      </c>
      <c r="F35" s="269" t="s">
        <v>116</v>
      </c>
      <c r="G35" s="287" t="s">
        <v>117</v>
      </c>
      <c r="H35" s="288" t="s">
        <v>118</v>
      </c>
      <c r="I35" s="107">
        <v>1</v>
      </c>
      <c r="J35" s="51" t="s">
        <v>119</v>
      </c>
      <c r="K35" s="247" t="s">
        <v>65</v>
      </c>
      <c r="L35" s="247">
        <v>1</v>
      </c>
      <c r="M35" s="247"/>
      <c r="N35" s="328" t="s">
        <v>50</v>
      </c>
      <c r="O35" s="235" t="s">
        <v>51</v>
      </c>
      <c r="P35" s="235" t="s">
        <v>45</v>
      </c>
      <c r="Q35" s="631"/>
      <c r="R35" s="631"/>
      <c r="S35" s="278"/>
      <c r="T35" s="278"/>
      <c r="U35" s="278"/>
      <c r="V35" s="278"/>
      <c r="W35" s="278"/>
      <c r="X35" s="278"/>
      <c r="Y35" s="278"/>
    </row>
    <row r="36" spans="1:25" ht="14">
      <c r="A36" s="223"/>
      <c r="B36" s="223"/>
      <c r="C36" s="223"/>
      <c r="D36" s="224"/>
      <c r="E36" s="224"/>
      <c r="F36" s="269"/>
      <c r="G36" s="287"/>
      <c r="H36" s="288"/>
      <c r="I36" s="107">
        <v>2</v>
      </c>
      <c r="J36" s="51" t="s">
        <v>120</v>
      </c>
      <c r="K36" s="247"/>
      <c r="L36" s="247"/>
      <c r="M36" s="247"/>
      <c r="N36" s="330"/>
      <c r="O36" s="237"/>
      <c r="P36" s="237"/>
      <c r="Q36" s="632"/>
      <c r="R36" s="632"/>
      <c r="S36" s="280"/>
      <c r="T36" s="280"/>
      <c r="U36" s="280"/>
      <c r="V36" s="280"/>
      <c r="W36" s="280"/>
      <c r="X36" s="280"/>
      <c r="Y36" s="280"/>
    </row>
    <row r="37" spans="1:25" ht="14">
      <c r="A37" s="223" t="s">
        <v>112</v>
      </c>
      <c r="B37" s="223" t="s">
        <v>113</v>
      </c>
      <c r="C37" s="223" t="s">
        <v>114</v>
      </c>
      <c r="D37" s="224">
        <v>6</v>
      </c>
      <c r="E37" s="224" t="s">
        <v>121</v>
      </c>
      <c r="F37" s="269" t="s">
        <v>116</v>
      </c>
      <c r="G37" s="287" t="s">
        <v>122</v>
      </c>
      <c r="H37" s="480"/>
      <c r="I37" s="107">
        <v>1</v>
      </c>
      <c r="J37" s="51" t="s">
        <v>119</v>
      </c>
      <c r="K37" s="247" t="s">
        <v>65</v>
      </c>
      <c r="L37" s="247">
        <v>1</v>
      </c>
      <c r="M37" s="247"/>
      <c r="N37" s="328" t="s">
        <v>50</v>
      </c>
      <c r="O37" s="235" t="s">
        <v>51</v>
      </c>
      <c r="P37" s="235" t="s">
        <v>45</v>
      </c>
      <c r="Q37" s="225"/>
      <c r="R37" s="225"/>
      <c r="S37" s="278"/>
      <c r="T37" s="278"/>
      <c r="U37" s="278"/>
      <c r="V37" s="278"/>
      <c r="W37" s="278"/>
      <c r="X37" s="278"/>
      <c r="Y37" s="278"/>
    </row>
    <row r="38" spans="1:25" ht="14">
      <c r="A38" s="223"/>
      <c r="B38" s="223"/>
      <c r="C38" s="223"/>
      <c r="D38" s="224"/>
      <c r="E38" s="224"/>
      <c r="F38" s="269"/>
      <c r="G38" s="287"/>
      <c r="H38" s="480"/>
      <c r="I38" s="107">
        <v>2</v>
      </c>
      <c r="J38" s="51" t="s">
        <v>120</v>
      </c>
      <c r="K38" s="247"/>
      <c r="L38" s="247"/>
      <c r="M38" s="247"/>
      <c r="N38" s="329"/>
      <c r="O38" s="236"/>
      <c r="P38" s="236"/>
      <c r="Q38" s="226"/>
      <c r="R38" s="226"/>
      <c r="S38" s="279"/>
      <c r="T38" s="279"/>
      <c r="U38" s="279"/>
      <c r="V38" s="279"/>
      <c r="W38" s="279"/>
      <c r="X38" s="279"/>
      <c r="Y38" s="279"/>
    </row>
    <row r="39" spans="1:25" ht="14">
      <c r="A39" s="223"/>
      <c r="B39" s="223"/>
      <c r="C39" s="223"/>
      <c r="D39" s="224"/>
      <c r="E39" s="224"/>
      <c r="F39" s="269"/>
      <c r="G39" s="287"/>
      <c r="H39" s="480"/>
      <c r="I39" s="107">
        <v>77</v>
      </c>
      <c r="J39" s="51" t="s">
        <v>123</v>
      </c>
      <c r="K39" s="247"/>
      <c r="L39" s="247"/>
      <c r="M39" s="247"/>
      <c r="N39" s="330"/>
      <c r="O39" s="237"/>
      <c r="P39" s="237"/>
      <c r="Q39" s="227"/>
      <c r="R39" s="227"/>
      <c r="S39" s="280"/>
      <c r="T39" s="280"/>
      <c r="U39" s="280"/>
      <c r="V39" s="280"/>
      <c r="W39" s="280"/>
      <c r="X39" s="280"/>
      <c r="Y39" s="280"/>
    </row>
    <row r="40" spans="1:25" ht="14">
      <c r="A40" s="223" t="s">
        <v>112</v>
      </c>
      <c r="B40" s="223" t="s">
        <v>113</v>
      </c>
      <c r="C40" s="228"/>
      <c r="D40" s="232">
        <v>6</v>
      </c>
      <c r="E40" s="232" t="s">
        <v>124</v>
      </c>
      <c r="F40" s="228"/>
      <c r="G40" s="404" t="s">
        <v>125</v>
      </c>
      <c r="H40" s="480"/>
      <c r="I40" s="107">
        <v>1</v>
      </c>
      <c r="J40" s="51" t="s">
        <v>119</v>
      </c>
      <c r="K40" s="228" t="s">
        <v>65</v>
      </c>
      <c r="L40" s="228">
        <v>1</v>
      </c>
      <c r="M40" s="228"/>
      <c r="N40" s="228" t="s">
        <v>50</v>
      </c>
      <c r="O40" s="228" t="s">
        <v>51</v>
      </c>
      <c r="P40" s="228" t="s">
        <v>45</v>
      </c>
      <c r="Q40" s="232"/>
      <c r="R40" s="232"/>
      <c r="S40" s="228"/>
      <c r="T40" s="228"/>
      <c r="U40" s="235"/>
      <c r="V40" s="235"/>
      <c r="W40" s="235"/>
      <c r="X40" s="235"/>
      <c r="Y40" s="235"/>
    </row>
    <row r="41" spans="1:25" ht="14">
      <c r="A41" s="223"/>
      <c r="B41" s="223"/>
      <c r="C41" s="229"/>
      <c r="D41" s="233"/>
      <c r="E41" s="233"/>
      <c r="F41" s="229"/>
      <c r="G41" s="534"/>
      <c r="H41" s="480"/>
      <c r="I41" s="107">
        <v>2</v>
      </c>
      <c r="J41" s="51" t="s">
        <v>120</v>
      </c>
      <c r="K41" s="229"/>
      <c r="L41" s="229"/>
      <c r="M41" s="229"/>
      <c r="N41" s="229"/>
      <c r="O41" s="229"/>
      <c r="P41" s="229"/>
      <c r="Q41" s="233"/>
      <c r="R41" s="233"/>
      <c r="S41" s="229"/>
      <c r="T41" s="229"/>
      <c r="U41" s="236"/>
      <c r="V41" s="236"/>
      <c r="W41" s="236"/>
      <c r="X41" s="236"/>
      <c r="Y41" s="236"/>
    </row>
    <row r="42" spans="1:25" ht="14">
      <c r="A42" s="223"/>
      <c r="B42" s="223"/>
      <c r="C42" s="230"/>
      <c r="D42" s="234"/>
      <c r="E42" s="234"/>
      <c r="F42" s="230"/>
      <c r="G42" s="535"/>
      <c r="H42" s="480"/>
      <c r="I42" s="107">
        <v>77</v>
      </c>
      <c r="J42" s="51" t="s">
        <v>126</v>
      </c>
      <c r="K42" s="230"/>
      <c r="L42" s="230"/>
      <c r="M42" s="230"/>
      <c r="N42" s="230"/>
      <c r="O42" s="230"/>
      <c r="P42" s="230"/>
      <c r="Q42" s="234"/>
      <c r="R42" s="234"/>
      <c r="S42" s="230"/>
      <c r="T42" s="230"/>
      <c r="U42" s="237"/>
      <c r="V42" s="237"/>
      <c r="W42" s="237"/>
      <c r="X42" s="237"/>
      <c r="Y42" s="237"/>
    </row>
    <row r="43" spans="1:25" ht="18" customHeight="1">
      <c r="A43" s="223" t="s">
        <v>127</v>
      </c>
      <c r="B43" s="223" t="s">
        <v>128</v>
      </c>
      <c r="C43" s="223" t="s">
        <v>129</v>
      </c>
      <c r="D43" s="224">
        <v>7</v>
      </c>
      <c r="E43" s="224" t="s">
        <v>130</v>
      </c>
      <c r="F43" s="269" t="s">
        <v>131</v>
      </c>
      <c r="G43" s="287" t="s">
        <v>132</v>
      </c>
      <c r="H43" s="480"/>
      <c r="I43" s="107">
        <v>1</v>
      </c>
      <c r="J43" s="51" t="s">
        <v>119</v>
      </c>
      <c r="K43" s="247" t="s">
        <v>65</v>
      </c>
      <c r="L43" s="247">
        <v>1</v>
      </c>
      <c r="M43" s="247"/>
      <c r="N43" s="247" t="s">
        <v>50</v>
      </c>
      <c r="O43" s="247" t="s">
        <v>51</v>
      </c>
      <c r="P43" s="247" t="s">
        <v>45</v>
      </c>
      <c r="Q43" s="224"/>
      <c r="R43" s="224"/>
      <c r="S43" s="269"/>
      <c r="T43" s="278"/>
      <c r="U43" s="278"/>
      <c r="V43" s="278"/>
      <c r="W43" s="278"/>
      <c r="X43" s="278"/>
      <c r="Y43" s="278"/>
    </row>
    <row r="44" spans="1:25" ht="18" customHeight="1">
      <c r="A44" s="223"/>
      <c r="B44" s="223"/>
      <c r="C44" s="223"/>
      <c r="D44" s="224"/>
      <c r="E44" s="224"/>
      <c r="F44" s="269"/>
      <c r="G44" s="287"/>
      <c r="H44" s="480"/>
      <c r="I44" s="107">
        <v>2</v>
      </c>
      <c r="J44" s="51" t="s">
        <v>120</v>
      </c>
      <c r="K44" s="247"/>
      <c r="L44" s="247"/>
      <c r="M44" s="247"/>
      <c r="N44" s="247"/>
      <c r="O44" s="247"/>
      <c r="P44" s="247"/>
      <c r="Q44" s="224"/>
      <c r="R44" s="224"/>
      <c r="S44" s="269"/>
      <c r="T44" s="280"/>
      <c r="U44" s="280"/>
      <c r="V44" s="280"/>
      <c r="W44" s="280"/>
      <c r="X44" s="280"/>
      <c r="Y44" s="280"/>
    </row>
    <row r="45" spans="1:25" ht="18" customHeight="1">
      <c r="A45" s="228"/>
      <c r="B45" s="228"/>
      <c r="C45" s="228"/>
      <c r="D45" s="232">
        <v>7</v>
      </c>
      <c r="E45" s="232" t="s">
        <v>133</v>
      </c>
      <c r="F45" s="228"/>
      <c r="G45" s="404" t="s">
        <v>134</v>
      </c>
      <c r="H45" s="480"/>
      <c r="I45" s="107">
        <v>1</v>
      </c>
      <c r="J45" s="51" t="s">
        <v>119</v>
      </c>
      <c r="K45" s="228" t="s">
        <v>46</v>
      </c>
      <c r="L45" s="228">
        <v>1</v>
      </c>
      <c r="M45" s="228"/>
      <c r="N45" s="228" t="s">
        <v>50</v>
      </c>
      <c r="O45" s="228" t="s">
        <v>51</v>
      </c>
      <c r="P45" s="228" t="s">
        <v>45</v>
      </c>
      <c r="Q45" s="561"/>
      <c r="R45" s="561"/>
      <c r="S45" s="94"/>
      <c r="T45" s="94"/>
      <c r="U45" s="235"/>
      <c r="V45" s="235"/>
      <c r="W45" s="235"/>
      <c r="X45" s="235"/>
      <c r="Y45" s="235"/>
    </row>
    <row r="46" spans="1:25" ht="18" customHeight="1">
      <c r="A46" s="229"/>
      <c r="B46" s="229"/>
      <c r="C46" s="229"/>
      <c r="D46" s="233"/>
      <c r="E46" s="233"/>
      <c r="F46" s="229"/>
      <c r="G46" s="534"/>
      <c r="H46" s="480"/>
      <c r="I46" s="107">
        <v>2</v>
      </c>
      <c r="J46" s="51" t="s">
        <v>135</v>
      </c>
      <c r="K46" s="229"/>
      <c r="L46" s="229"/>
      <c r="M46" s="229"/>
      <c r="N46" s="229"/>
      <c r="O46" s="229"/>
      <c r="P46" s="229"/>
      <c r="Q46" s="562"/>
      <c r="R46" s="562"/>
      <c r="S46" s="94"/>
      <c r="T46" s="94"/>
      <c r="U46" s="236"/>
      <c r="V46" s="236"/>
      <c r="W46" s="236"/>
      <c r="X46" s="236"/>
      <c r="Y46" s="236"/>
    </row>
    <row r="47" spans="1:25" ht="18" customHeight="1">
      <c r="A47" s="230"/>
      <c r="B47" s="230"/>
      <c r="C47" s="230"/>
      <c r="D47" s="234"/>
      <c r="E47" s="234"/>
      <c r="F47" s="230"/>
      <c r="G47" s="535"/>
      <c r="H47" s="480"/>
      <c r="I47" s="107">
        <v>77</v>
      </c>
      <c r="J47" s="51" t="s">
        <v>136</v>
      </c>
      <c r="K47" s="230"/>
      <c r="L47" s="230"/>
      <c r="M47" s="230"/>
      <c r="N47" s="230"/>
      <c r="O47" s="230"/>
      <c r="P47" s="230"/>
      <c r="Q47" s="563"/>
      <c r="R47" s="563"/>
      <c r="S47" s="94"/>
      <c r="T47" s="94"/>
      <c r="U47" s="237"/>
      <c r="V47" s="237"/>
      <c r="W47" s="237"/>
      <c r="X47" s="237"/>
      <c r="Y47" s="237"/>
    </row>
    <row r="48" spans="1:25" ht="31">
      <c r="A48" s="263" t="s">
        <v>137</v>
      </c>
      <c r="B48" s="263" t="s">
        <v>138</v>
      </c>
      <c r="C48" s="401" t="s">
        <v>114</v>
      </c>
      <c r="D48" s="479">
        <v>7</v>
      </c>
      <c r="E48" s="479" t="s">
        <v>139</v>
      </c>
      <c r="F48" s="263" t="s">
        <v>116</v>
      </c>
      <c r="G48" s="254" t="s">
        <v>140</v>
      </c>
      <c r="H48" s="267" t="s">
        <v>40</v>
      </c>
      <c r="I48" s="106">
        <v>1</v>
      </c>
      <c r="J48" s="15" t="s">
        <v>141</v>
      </c>
      <c r="K48" s="271" t="s">
        <v>46</v>
      </c>
      <c r="L48" s="271">
        <v>1</v>
      </c>
      <c r="M48" s="271" t="s">
        <v>40</v>
      </c>
      <c r="N48" s="509" t="s">
        <v>50</v>
      </c>
      <c r="O48" s="216" t="s">
        <v>51</v>
      </c>
      <c r="P48" s="509" t="s">
        <v>45</v>
      </c>
      <c r="Q48" s="526" t="s">
        <v>40</v>
      </c>
      <c r="R48" s="526" t="s">
        <v>40</v>
      </c>
      <c r="S48" s="320" t="s">
        <v>40</v>
      </c>
      <c r="T48" s="320" t="s">
        <v>40</v>
      </c>
      <c r="U48" s="320"/>
      <c r="V48" s="320"/>
      <c r="W48" s="320" t="s">
        <v>40</v>
      </c>
      <c r="X48" s="320" t="s">
        <v>40</v>
      </c>
      <c r="Y48" s="320" t="s">
        <v>40</v>
      </c>
    </row>
    <row r="49" spans="1:25" ht="31">
      <c r="A49" s="263"/>
      <c r="B49" s="263"/>
      <c r="C49" s="401"/>
      <c r="D49" s="479"/>
      <c r="E49" s="479"/>
      <c r="F49" s="263"/>
      <c r="G49" s="254"/>
      <c r="H49" s="267"/>
      <c r="I49" s="106">
        <v>2</v>
      </c>
      <c r="J49" s="15" t="s">
        <v>142</v>
      </c>
      <c r="K49" s="271"/>
      <c r="L49" s="271"/>
      <c r="M49" s="271"/>
      <c r="N49" s="510"/>
      <c r="O49" s="326"/>
      <c r="P49" s="510"/>
      <c r="Q49" s="521"/>
      <c r="R49" s="521"/>
      <c r="S49" s="321"/>
      <c r="T49" s="321"/>
      <c r="U49" s="321"/>
      <c r="V49" s="321"/>
      <c r="W49" s="321"/>
      <c r="X49" s="321"/>
      <c r="Y49" s="321"/>
    </row>
    <row r="50" spans="1:25" ht="18" customHeight="1">
      <c r="A50" s="263"/>
      <c r="B50" s="263"/>
      <c r="C50" s="401"/>
      <c r="D50" s="479"/>
      <c r="E50" s="479"/>
      <c r="F50" s="263"/>
      <c r="G50" s="254"/>
      <c r="H50" s="267"/>
      <c r="I50" s="106">
        <v>3</v>
      </c>
      <c r="J50" s="15" t="s">
        <v>143</v>
      </c>
      <c r="K50" s="271"/>
      <c r="L50" s="271"/>
      <c r="M50" s="271"/>
      <c r="N50" s="511"/>
      <c r="O50" s="217"/>
      <c r="P50" s="512"/>
      <c r="Q50" s="522"/>
      <c r="R50" s="522"/>
      <c r="S50" s="327"/>
      <c r="T50" s="327"/>
      <c r="U50" s="327"/>
      <c r="V50" s="327"/>
      <c r="W50" s="327"/>
      <c r="X50" s="327"/>
      <c r="Y50" s="327"/>
    </row>
    <row r="51" spans="1:25" ht="18" customHeight="1">
      <c r="A51" s="223" t="s">
        <v>144</v>
      </c>
      <c r="B51" s="223" t="s">
        <v>145</v>
      </c>
      <c r="C51" s="223" t="s">
        <v>146</v>
      </c>
      <c r="D51" s="554">
        <v>7</v>
      </c>
      <c r="E51" s="224" t="s">
        <v>147</v>
      </c>
      <c r="F51" s="269" t="s">
        <v>148</v>
      </c>
      <c r="G51" s="254" t="s">
        <v>149</v>
      </c>
      <c r="H51" s="270" t="s">
        <v>150</v>
      </c>
      <c r="I51" s="100">
        <v>1</v>
      </c>
      <c r="J51" s="15" t="s">
        <v>151</v>
      </c>
      <c r="K51" s="247" t="s">
        <v>46</v>
      </c>
      <c r="L51" s="247">
        <v>1</v>
      </c>
      <c r="M51" s="247"/>
      <c r="N51" s="328" t="s">
        <v>50</v>
      </c>
      <c r="O51" s="456" t="s">
        <v>51</v>
      </c>
      <c r="P51" s="456" t="s">
        <v>45</v>
      </c>
      <c r="Q51" s="295"/>
      <c r="R51" s="295"/>
      <c r="S51" s="241"/>
      <c r="T51" s="241"/>
      <c r="U51" s="241"/>
      <c r="V51" s="241"/>
      <c r="W51" s="241"/>
      <c r="X51" s="241"/>
      <c r="Y51" s="241"/>
    </row>
    <row r="52" spans="1:25" ht="20.25" customHeight="1">
      <c r="A52" s="223"/>
      <c r="B52" s="223"/>
      <c r="C52" s="223"/>
      <c r="D52" s="554"/>
      <c r="E52" s="224"/>
      <c r="F52" s="269"/>
      <c r="G52" s="254"/>
      <c r="H52" s="270"/>
      <c r="I52" s="100">
        <v>2</v>
      </c>
      <c r="J52" s="15" t="s">
        <v>152</v>
      </c>
      <c r="K52" s="247"/>
      <c r="L52" s="247"/>
      <c r="M52" s="247"/>
      <c r="N52" s="329"/>
      <c r="O52" s="457"/>
      <c r="P52" s="457"/>
      <c r="Q52" s="296"/>
      <c r="R52" s="296"/>
      <c r="S52" s="242"/>
      <c r="T52" s="242"/>
      <c r="U52" s="242"/>
      <c r="V52" s="242"/>
      <c r="W52" s="242"/>
      <c r="X52" s="242"/>
      <c r="Y52" s="242"/>
    </row>
    <row r="53" spans="1:25" ht="20.25" customHeight="1">
      <c r="A53" s="223"/>
      <c r="B53" s="223"/>
      <c r="C53" s="223"/>
      <c r="D53" s="554"/>
      <c r="E53" s="224"/>
      <c r="F53" s="269"/>
      <c r="G53" s="254"/>
      <c r="H53" s="270"/>
      <c r="I53" s="100">
        <v>3</v>
      </c>
      <c r="J53" s="15" t="s">
        <v>153</v>
      </c>
      <c r="K53" s="247"/>
      <c r="L53" s="247"/>
      <c r="M53" s="247"/>
      <c r="N53" s="329"/>
      <c r="O53" s="457"/>
      <c r="P53" s="457"/>
      <c r="Q53" s="296"/>
      <c r="R53" s="296"/>
      <c r="S53" s="242"/>
      <c r="T53" s="242"/>
      <c r="U53" s="242"/>
      <c r="V53" s="242"/>
      <c r="W53" s="242"/>
      <c r="X53" s="242"/>
      <c r="Y53" s="242"/>
    </row>
    <row r="54" spans="1:25" ht="20.25" customHeight="1">
      <c r="A54" s="223"/>
      <c r="B54" s="223"/>
      <c r="C54" s="223"/>
      <c r="D54" s="554"/>
      <c r="E54" s="224"/>
      <c r="F54" s="269"/>
      <c r="G54" s="254"/>
      <c r="H54" s="270"/>
      <c r="I54" s="99">
        <v>4</v>
      </c>
      <c r="J54" s="47" t="s">
        <v>154</v>
      </c>
      <c r="K54" s="247"/>
      <c r="L54" s="247"/>
      <c r="M54" s="247"/>
      <c r="N54" s="329"/>
      <c r="O54" s="457"/>
      <c r="P54" s="457"/>
      <c r="Q54" s="296"/>
      <c r="R54" s="296"/>
      <c r="S54" s="242"/>
      <c r="T54" s="242"/>
      <c r="U54" s="242"/>
      <c r="V54" s="242"/>
      <c r="W54" s="242"/>
      <c r="X54" s="242"/>
      <c r="Y54" s="242"/>
    </row>
    <row r="55" spans="1:25" ht="20.25" customHeight="1">
      <c r="A55" s="223"/>
      <c r="B55" s="223"/>
      <c r="C55" s="223"/>
      <c r="D55" s="554"/>
      <c r="E55" s="224"/>
      <c r="F55" s="269"/>
      <c r="G55" s="254"/>
      <c r="H55" s="555"/>
      <c r="I55" s="104">
        <v>77</v>
      </c>
      <c r="J55" s="16" t="s">
        <v>155</v>
      </c>
      <c r="K55" s="556"/>
      <c r="L55" s="247"/>
      <c r="M55" s="247"/>
      <c r="N55" s="330"/>
      <c r="O55" s="458"/>
      <c r="P55" s="458"/>
      <c r="Q55" s="297"/>
      <c r="R55" s="297"/>
      <c r="S55" s="243"/>
      <c r="T55" s="243"/>
      <c r="U55" s="243"/>
      <c r="V55" s="243"/>
      <c r="W55" s="243"/>
      <c r="X55" s="243"/>
      <c r="Y55" s="243"/>
    </row>
    <row r="56" spans="1:25" ht="20.25" customHeight="1">
      <c r="A56" s="263" t="s">
        <v>156</v>
      </c>
      <c r="B56" s="263" t="s">
        <v>157</v>
      </c>
      <c r="C56" s="263" t="s">
        <v>158</v>
      </c>
      <c r="D56" s="479">
        <v>8</v>
      </c>
      <c r="E56" s="479" t="s">
        <v>159</v>
      </c>
      <c r="F56" s="263" t="s">
        <v>116</v>
      </c>
      <c r="G56" s="254" t="s">
        <v>160</v>
      </c>
      <c r="H56" s="270"/>
      <c r="I56" s="108">
        <v>1</v>
      </c>
      <c r="J56" s="90" t="s">
        <v>119</v>
      </c>
      <c r="K56" s="531" t="s">
        <v>46</v>
      </c>
      <c r="L56" s="271">
        <v>1</v>
      </c>
      <c r="M56" s="271" t="s">
        <v>40</v>
      </c>
      <c r="N56" s="509" t="s">
        <v>161</v>
      </c>
      <c r="O56" s="216" t="s">
        <v>51</v>
      </c>
      <c r="P56" s="509" t="s">
        <v>45</v>
      </c>
      <c r="Q56" s="526" t="s">
        <v>40</v>
      </c>
      <c r="R56" s="526" t="s">
        <v>40</v>
      </c>
      <c r="S56" s="320" t="s">
        <v>40</v>
      </c>
      <c r="T56" s="557" t="s">
        <v>40</v>
      </c>
      <c r="U56" s="320" t="s">
        <v>40</v>
      </c>
      <c r="V56" s="320" t="s">
        <v>40</v>
      </c>
      <c r="W56" s="320" t="s">
        <v>40</v>
      </c>
      <c r="X56" s="320" t="s">
        <v>40</v>
      </c>
      <c r="Y56" s="320" t="s">
        <v>40</v>
      </c>
    </row>
    <row r="57" spans="1:25" ht="20.25" customHeight="1">
      <c r="A57" s="263"/>
      <c r="B57" s="263"/>
      <c r="C57" s="263"/>
      <c r="D57" s="479"/>
      <c r="E57" s="479"/>
      <c r="F57" s="263"/>
      <c r="G57" s="254"/>
      <c r="H57" s="270"/>
      <c r="I57" s="102">
        <v>2</v>
      </c>
      <c r="J57" s="103" t="s">
        <v>120</v>
      </c>
      <c r="K57" s="271"/>
      <c r="L57" s="271"/>
      <c r="M57" s="271"/>
      <c r="N57" s="510"/>
      <c r="O57" s="326"/>
      <c r="P57" s="510"/>
      <c r="Q57" s="521"/>
      <c r="R57" s="521"/>
      <c r="S57" s="321"/>
      <c r="T57" s="558"/>
      <c r="U57" s="321"/>
      <c r="V57" s="321"/>
      <c r="W57" s="321"/>
      <c r="X57" s="321"/>
      <c r="Y57" s="321"/>
    </row>
    <row r="58" spans="1:25" ht="18" customHeight="1">
      <c r="A58" s="263"/>
      <c r="B58" s="263"/>
      <c r="C58" s="263"/>
      <c r="D58" s="479"/>
      <c r="E58" s="479"/>
      <c r="F58" s="263"/>
      <c r="G58" s="254"/>
      <c r="H58" s="270"/>
      <c r="I58" s="102">
        <v>77</v>
      </c>
      <c r="J58" s="44" t="s">
        <v>155</v>
      </c>
      <c r="K58" s="271"/>
      <c r="L58" s="271"/>
      <c r="M58" s="271"/>
      <c r="N58" s="510"/>
      <c r="O58" s="326"/>
      <c r="P58" s="510"/>
      <c r="Q58" s="521"/>
      <c r="R58" s="521"/>
      <c r="S58" s="321"/>
      <c r="T58" s="558"/>
      <c r="U58" s="321"/>
      <c r="V58" s="321"/>
      <c r="W58" s="321"/>
      <c r="X58" s="321"/>
      <c r="Y58" s="321"/>
    </row>
    <row r="59" spans="1:25" ht="15" customHeight="1">
      <c r="A59" s="263" t="s">
        <v>162</v>
      </c>
      <c r="B59" s="263" t="s">
        <v>163</v>
      </c>
      <c r="C59" s="263" t="s">
        <v>158</v>
      </c>
      <c r="D59" s="479">
        <v>8</v>
      </c>
      <c r="E59" s="479" t="s">
        <v>164</v>
      </c>
      <c r="F59" s="263" t="s">
        <v>165</v>
      </c>
      <c r="G59" s="254" t="s">
        <v>166</v>
      </c>
      <c r="H59" s="254" t="s">
        <v>167</v>
      </c>
      <c r="I59" s="106">
        <v>1</v>
      </c>
      <c r="J59" s="49" t="s">
        <v>168</v>
      </c>
      <c r="K59" s="271" t="s">
        <v>46</v>
      </c>
      <c r="L59" s="271">
        <v>1</v>
      </c>
      <c r="M59" s="271" t="s">
        <v>40</v>
      </c>
      <c r="N59" s="271" t="s">
        <v>161</v>
      </c>
      <c r="O59" s="271" t="s">
        <v>51</v>
      </c>
      <c r="P59" s="271" t="s">
        <v>169</v>
      </c>
      <c r="Q59" s="215"/>
      <c r="R59" s="215"/>
      <c r="S59" s="263" t="s">
        <v>40</v>
      </c>
      <c r="T59" s="263" t="s">
        <v>40</v>
      </c>
      <c r="U59" s="271"/>
      <c r="V59" s="263" t="s">
        <v>40</v>
      </c>
      <c r="W59" s="263" t="s">
        <v>40</v>
      </c>
      <c r="X59" s="263" t="s">
        <v>40</v>
      </c>
      <c r="Y59" s="263" t="s">
        <v>40</v>
      </c>
    </row>
    <row r="60" spans="1:25" ht="30" customHeight="1">
      <c r="A60" s="263"/>
      <c r="B60" s="263"/>
      <c r="C60" s="263"/>
      <c r="D60" s="479"/>
      <c r="E60" s="479"/>
      <c r="F60" s="263"/>
      <c r="G60" s="254"/>
      <c r="H60" s="254"/>
      <c r="I60" s="106">
        <v>2</v>
      </c>
      <c r="J60" s="49" t="s">
        <v>170</v>
      </c>
      <c r="K60" s="271"/>
      <c r="L60" s="271"/>
      <c r="M60" s="271"/>
      <c r="N60" s="271"/>
      <c r="O60" s="271"/>
      <c r="P60" s="271"/>
      <c r="Q60" s="215"/>
      <c r="R60" s="215"/>
      <c r="S60" s="263"/>
      <c r="T60" s="263"/>
      <c r="U60" s="271"/>
      <c r="V60" s="263"/>
      <c r="W60" s="263"/>
      <c r="X60" s="263"/>
      <c r="Y60" s="263"/>
    </row>
    <row r="61" spans="1:25" ht="31">
      <c r="A61" s="223" t="s">
        <v>171</v>
      </c>
      <c r="B61" s="223" t="s">
        <v>172</v>
      </c>
      <c r="C61" s="223" t="s">
        <v>173</v>
      </c>
      <c r="D61" s="479"/>
      <c r="E61" s="479"/>
      <c r="F61" s="263"/>
      <c r="G61" s="254"/>
      <c r="H61" s="254"/>
      <c r="I61" s="106">
        <v>3</v>
      </c>
      <c r="J61" s="15" t="s">
        <v>174</v>
      </c>
      <c r="K61" s="271"/>
      <c r="L61" s="271"/>
      <c r="M61" s="271"/>
      <c r="N61" s="271"/>
      <c r="O61" s="271"/>
      <c r="P61" s="271"/>
      <c r="Q61" s="215"/>
      <c r="R61" s="215"/>
      <c r="S61" s="263"/>
      <c r="T61" s="263"/>
      <c r="U61" s="271"/>
      <c r="V61" s="263"/>
      <c r="W61" s="263"/>
      <c r="X61" s="263"/>
      <c r="Y61" s="263"/>
    </row>
    <row r="62" spans="1:25" ht="15" customHeight="1">
      <c r="A62" s="223"/>
      <c r="B62" s="223"/>
      <c r="C62" s="223"/>
      <c r="D62" s="479"/>
      <c r="E62" s="479"/>
      <c r="F62" s="263"/>
      <c r="G62" s="254"/>
      <c r="H62" s="254"/>
      <c r="I62" s="106">
        <v>4</v>
      </c>
      <c r="J62" s="49" t="s">
        <v>175</v>
      </c>
      <c r="K62" s="271"/>
      <c r="L62" s="271"/>
      <c r="M62" s="271"/>
      <c r="N62" s="271"/>
      <c r="O62" s="271"/>
      <c r="P62" s="271"/>
      <c r="Q62" s="215"/>
      <c r="R62" s="215"/>
      <c r="S62" s="263"/>
      <c r="T62" s="263"/>
      <c r="U62" s="271"/>
      <c r="V62" s="263"/>
      <c r="W62" s="263"/>
      <c r="X62" s="263"/>
      <c r="Y62" s="263"/>
    </row>
    <row r="63" spans="1:25" ht="30" customHeight="1">
      <c r="A63" s="263" t="s">
        <v>176</v>
      </c>
      <c r="B63" s="263" t="s">
        <v>177</v>
      </c>
      <c r="C63" s="263" t="s">
        <v>146</v>
      </c>
      <c r="D63" s="479"/>
      <c r="E63" s="479"/>
      <c r="F63" s="263"/>
      <c r="G63" s="254"/>
      <c r="H63" s="254"/>
      <c r="I63" s="106">
        <v>5</v>
      </c>
      <c r="J63" s="49" t="s">
        <v>178</v>
      </c>
      <c r="K63" s="271"/>
      <c r="L63" s="271"/>
      <c r="M63" s="271"/>
      <c r="N63" s="271"/>
      <c r="O63" s="271"/>
      <c r="P63" s="271"/>
      <c r="Q63" s="215"/>
      <c r="R63" s="215"/>
      <c r="S63" s="263"/>
      <c r="T63" s="263"/>
      <c r="U63" s="271"/>
      <c r="V63" s="263"/>
      <c r="W63" s="263"/>
      <c r="X63" s="263"/>
      <c r="Y63" s="263"/>
    </row>
    <row r="64" spans="1:25" ht="15" customHeight="1">
      <c r="A64" s="263"/>
      <c r="B64" s="263"/>
      <c r="C64" s="263"/>
      <c r="D64" s="479"/>
      <c r="E64" s="479"/>
      <c r="F64" s="263"/>
      <c r="G64" s="254"/>
      <c r="H64" s="254"/>
      <c r="I64" s="106">
        <v>6</v>
      </c>
      <c r="J64" s="15" t="s">
        <v>179</v>
      </c>
      <c r="K64" s="271"/>
      <c r="L64" s="271"/>
      <c r="M64" s="271"/>
      <c r="N64" s="271"/>
      <c r="O64" s="271"/>
      <c r="P64" s="271"/>
      <c r="Q64" s="215"/>
      <c r="R64" s="215"/>
      <c r="S64" s="263"/>
      <c r="T64" s="263"/>
      <c r="U64" s="271"/>
      <c r="V64" s="263"/>
      <c r="W64" s="263"/>
      <c r="X64" s="263"/>
      <c r="Y64" s="263"/>
    </row>
    <row r="65" spans="1:25" ht="15.5">
      <c r="A65" s="263"/>
      <c r="B65" s="263"/>
      <c r="C65" s="263"/>
      <c r="D65" s="479"/>
      <c r="E65" s="479"/>
      <c r="F65" s="263"/>
      <c r="G65" s="254"/>
      <c r="H65" s="254"/>
      <c r="I65" s="106">
        <v>7</v>
      </c>
      <c r="J65" s="15" t="s">
        <v>180</v>
      </c>
      <c r="K65" s="271"/>
      <c r="L65" s="271"/>
      <c r="M65" s="271"/>
      <c r="N65" s="271"/>
      <c r="O65" s="271"/>
      <c r="P65" s="271"/>
      <c r="Q65" s="215"/>
      <c r="R65" s="215"/>
      <c r="S65" s="263"/>
      <c r="T65" s="263"/>
      <c r="U65" s="271"/>
      <c r="V65" s="263"/>
      <c r="W65" s="263"/>
      <c r="X65" s="263"/>
      <c r="Y65" s="263"/>
    </row>
    <row r="66" spans="1:25" ht="15.5">
      <c r="A66" s="263"/>
      <c r="B66" s="263"/>
      <c r="C66" s="263"/>
      <c r="D66" s="479"/>
      <c r="E66" s="479"/>
      <c r="F66" s="263"/>
      <c r="G66" s="254"/>
      <c r="H66" s="254"/>
      <c r="I66" s="106">
        <v>8</v>
      </c>
      <c r="J66" s="49" t="s">
        <v>181</v>
      </c>
      <c r="K66" s="271"/>
      <c r="L66" s="271"/>
      <c r="M66" s="271"/>
      <c r="N66" s="271"/>
      <c r="O66" s="271"/>
      <c r="P66" s="271"/>
      <c r="Q66" s="215"/>
      <c r="R66" s="215"/>
      <c r="S66" s="263"/>
      <c r="T66" s="263"/>
      <c r="U66" s="271"/>
      <c r="V66" s="263"/>
      <c r="W66" s="263"/>
      <c r="X66" s="263"/>
      <c r="Y66" s="263"/>
    </row>
    <row r="67" spans="1:25" ht="15" customHeight="1">
      <c r="A67" s="254" t="s">
        <v>182</v>
      </c>
      <c r="B67" s="254" t="s">
        <v>183</v>
      </c>
      <c r="C67" s="254" t="s">
        <v>184</v>
      </c>
      <c r="D67" s="479"/>
      <c r="E67" s="479"/>
      <c r="F67" s="263"/>
      <c r="G67" s="254"/>
      <c r="H67" s="254"/>
      <c r="I67" s="106">
        <v>9</v>
      </c>
      <c r="J67" s="49" t="s">
        <v>185</v>
      </c>
      <c r="K67" s="271"/>
      <c r="L67" s="271"/>
      <c r="M67" s="271"/>
      <c r="N67" s="271"/>
      <c r="O67" s="271"/>
      <c r="P67" s="271"/>
      <c r="Q67" s="215"/>
      <c r="R67" s="215"/>
      <c r="S67" s="263"/>
      <c r="T67" s="263"/>
      <c r="U67" s="271"/>
      <c r="V67" s="263"/>
      <c r="W67" s="263"/>
      <c r="X67" s="263"/>
      <c r="Y67" s="263"/>
    </row>
    <row r="68" spans="1:25" ht="15.5">
      <c r="A68" s="254"/>
      <c r="B68" s="254"/>
      <c r="C68" s="254"/>
      <c r="D68" s="479"/>
      <c r="E68" s="479"/>
      <c r="F68" s="263"/>
      <c r="G68" s="254"/>
      <c r="H68" s="254"/>
      <c r="I68" s="106">
        <v>10</v>
      </c>
      <c r="J68" s="49" t="s">
        <v>186</v>
      </c>
      <c r="K68" s="271"/>
      <c r="L68" s="271"/>
      <c r="M68" s="271"/>
      <c r="N68" s="271"/>
      <c r="O68" s="271"/>
      <c r="P68" s="271"/>
      <c r="Q68" s="215"/>
      <c r="R68" s="215"/>
      <c r="S68" s="263"/>
      <c r="T68" s="263"/>
      <c r="U68" s="271"/>
      <c r="V68" s="263"/>
      <c r="W68" s="263"/>
      <c r="X68" s="263"/>
      <c r="Y68" s="263"/>
    </row>
    <row r="69" spans="1:25" ht="31">
      <c r="A69" s="254"/>
      <c r="B69" s="254"/>
      <c r="C69" s="254"/>
      <c r="D69" s="479"/>
      <c r="E69" s="479"/>
      <c r="F69" s="263"/>
      <c r="G69" s="254"/>
      <c r="H69" s="254"/>
      <c r="I69" s="106">
        <v>11</v>
      </c>
      <c r="J69" s="15" t="s">
        <v>187</v>
      </c>
      <c r="K69" s="271"/>
      <c r="L69" s="271"/>
      <c r="M69" s="271"/>
      <c r="N69" s="271"/>
      <c r="O69" s="271"/>
      <c r="P69" s="271"/>
      <c r="Q69" s="215"/>
      <c r="R69" s="215"/>
      <c r="S69" s="263"/>
      <c r="T69" s="263"/>
      <c r="U69" s="271"/>
      <c r="V69" s="263"/>
      <c r="W69" s="263"/>
      <c r="X69" s="263"/>
      <c r="Y69" s="263"/>
    </row>
    <row r="70" spans="1:25" ht="15.5">
      <c r="A70" s="254"/>
      <c r="B70" s="254"/>
      <c r="C70" s="254"/>
      <c r="D70" s="479"/>
      <c r="E70" s="479"/>
      <c r="F70" s="263"/>
      <c r="G70" s="254"/>
      <c r="H70" s="254"/>
      <c r="I70" s="106">
        <v>12</v>
      </c>
      <c r="J70" s="49" t="s">
        <v>188</v>
      </c>
      <c r="K70" s="271"/>
      <c r="L70" s="271"/>
      <c r="M70" s="271"/>
      <c r="N70" s="271"/>
      <c r="O70" s="271"/>
      <c r="P70" s="271"/>
      <c r="Q70" s="215"/>
      <c r="R70" s="215"/>
      <c r="S70" s="263"/>
      <c r="T70" s="263"/>
      <c r="U70" s="271"/>
      <c r="V70" s="263"/>
      <c r="W70" s="263"/>
      <c r="X70" s="263"/>
      <c r="Y70" s="263"/>
    </row>
    <row r="71" spans="1:25" ht="15.5">
      <c r="A71" s="254"/>
      <c r="B71" s="254"/>
      <c r="C71" s="254"/>
      <c r="D71" s="479"/>
      <c r="E71" s="479"/>
      <c r="F71" s="263"/>
      <c r="G71" s="254"/>
      <c r="H71" s="254"/>
      <c r="I71" s="106">
        <v>77</v>
      </c>
      <c r="J71" s="15" t="s">
        <v>155</v>
      </c>
      <c r="K71" s="271"/>
      <c r="L71" s="271"/>
      <c r="M71" s="271"/>
      <c r="N71" s="271"/>
      <c r="O71" s="271"/>
      <c r="P71" s="271"/>
      <c r="Q71" s="215"/>
      <c r="R71" s="215"/>
      <c r="S71" s="263"/>
      <c r="T71" s="263"/>
      <c r="U71" s="271"/>
      <c r="V71" s="263"/>
      <c r="W71" s="263"/>
      <c r="X71" s="263"/>
      <c r="Y71" s="263"/>
    </row>
    <row r="72" spans="1:25" ht="15" customHeight="1">
      <c r="A72" s="319" t="s">
        <v>189</v>
      </c>
      <c r="B72" s="319" t="s">
        <v>190</v>
      </c>
      <c r="C72" s="319" t="s">
        <v>146</v>
      </c>
      <c r="D72" s="461">
        <v>8</v>
      </c>
      <c r="E72" s="461" t="s">
        <v>191</v>
      </c>
      <c r="F72" s="319" t="s">
        <v>116</v>
      </c>
      <c r="G72" s="430" t="s">
        <v>192</v>
      </c>
      <c r="H72" s="525" t="s">
        <v>167</v>
      </c>
      <c r="I72" s="134">
        <v>1</v>
      </c>
      <c r="J72" s="136" t="s">
        <v>193</v>
      </c>
      <c r="K72" s="266" t="s">
        <v>46</v>
      </c>
      <c r="L72" s="266">
        <v>1</v>
      </c>
      <c r="M72" s="266" t="s">
        <v>40</v>
      </c>
      <c r="N72" s="510" t="s">
        <v>161</v>
      </c>
      <c r="O72" s="326" t="s">
        <v>51</v>
      </c>
      <c r="P72" s="510" t="s">
        <v>169</v>
      </c>
      <c r="Q72" s="527"/>
      <c r="R72" s="527"/>
      <c r="S72" s="529" t="s">
        <v>40</v>
      </c>
      <c r="T72" s="321" t="s">
        <v>40</v>
      </c>
      <c r="U72" s="321"/>
      <c r="V72" s="321"/>
      <c r="W72" s="321" t="s">
        <v>40</v>
      </c>
      <c r="X72" s="321" t="s">
        <v>40</v>
      </c>
      <c r="Y72" s="321" t="s">
        <v>40</v>
      </c>
    </row>
    <row r="73" spans="1:25" ht="15" customHeight="1">
      <c r="A73" s="263"/>
      <c r="B73" s="263"/>
      <c r="C73" s="263"/>
      <c r="D73" s="479"/>
      <c r="E73" s="479"/>
      <c r="F73" s="263"/>
      <c r="G73" s="254"/>
      <c r="H73" s="267"/>
      <c r="I73" s="106">
        <v>2</v>
      </c>
      <c r="J73" s="49" t="s">
        <v>194</v>
      </c>
      <c r="K73" s="271"/>
      <c r="L73" s="271"/>
      <c r="M73" s="271"/>
      <c r="N73" s="510"/>
      <c r="O73" s="326"/>
      <c r="P73" s="510"/>
      <c r="Q73" s="527"/>
      <c r="R73" s="527"/>
      <c r="S73" s="529"/>
      <c r="T73" s="321"/>
      <c r="U73" s="321"/>
      <c r="V73" s="321"/>
      <c r="W73" s="321"/>
      <c r="X73" s="321"/>
      <c r="Y73" s="321"/>
    </row>
    <row r="74" spans="1:25" ht="30" customHeight="1">
      <c r="A74" s="263"/>
      <c r="B74" s="263"/>
      <c r="C74" s="263"/>
      <c r="D74" s="479"/>
      <c r="E74" s="479"/>
      <c r="F74" s="263"/>
      <c r="G74" s="254"/>
      <c r="H74" s="267"/>
      <c r="I74" s="106">
        <v>3</v>
      </c>
      <c r="J74" s="15" t="s">
        <v>195</v>
      </c>
      <c r="K74" s="271"/>
      <c r="L74" s="271"/>
      <c r="M74" s="271"/>
      <c r="N74" s="510"/>
      <c r="O74" s="326"/>
      <c r="P74" s="510"/>
      <c r="Q74" s="527"/>
      <c r="R74" s="527"/>
      <c r="S74" s="529"/>
      <c r="T74" s="321"/>
      <c r="U74" s="321"/>
      <c r="V74" s="321"/>
      <c r="W74" s="321"/>
      <c r="X74" s="321"/>
      <c r="Y74" s="321"/>
    </row>
    <row r="75" spans="1:25" ht="15.5">
      <c r="A75" s="263"/>
      <c r="B75" s="263"/>
      <c r="C75" s="263"/>
      <c r="D75" s="479"/>
      <c r="E75" s="479"/>
      <c r="F75" s="263"/>
      <c r="G75" s="254"/>
      <c r="H75" s="267"/>
      <c r="I75" s="106">
        <v>4</v>
      </c>
      <c r="J75" s="49" t="s">
        <v>196</v>
      </c>
      <c r="K75" s="271"/>
      <c r="L75" s="271"/>
      <c r="M75" s="271"/>
      <c r="N75" s="510"/>
      <c r="O75" s="326"/>
      <c r="P75" s="510"/>
      <c r="Q75" s="527"/>
      <c r="R75" s="527"/>
      <c r="S75" s="529"/>
      <c r="T75" s="321"/>
      <c r="U75" s="321"/>
      <c r="V75" s="321"/>
      <c r="W75" s="321"/>
      <c r="X75" s="321"/>
      <c r="Y75" s="321"/>
    </row>
    <row r="76" spans="1:25" ht="15" customHeight="1">
      <c r="A76" s="263"/>
      <c r="B76" s="263"/>
      <c r="C76" s="263"/>
      <c r="D76" s="479"/>
      <c r="E76" s="479"/>
      <c r="F76" s="263"/>
      <c r="G76" s="254"/>
      <c r="H76" s="267"/>
      <c r="I76" s="106">
        <v>5</v>
      </c>
      <c r="J76" s="49" t="s">
        <v>197</v>
      </c>
      <c r="K76" s="271"/>
      <c r="L76" s="271"/>
      <c r="M76" s="271"/>
      <c r="N76" s="510"/>
      <c r="O76" s="326"/>
      <c r="P76" s="510"/>
      <c r="Q76" s="527"/>
      <c r="R76" s="527"/>
      <c r="S76" s="529"/>
      <c r="T76" s="321"/>
      <c r="U76" s="321"/>
      <c r="V76" s="321"/>
      <c r="W76" s="321"/>
      <c r="X76" s="321"/>
      <c r="Y76" s="321"/>
    </row>
    <row r="77" spans="1:25" ht="15" customHeight="1">
      <c r="A77" s="263"/>
      <c r="B77" s="263"/>
      <c r="C77" s="263"/>
      <c r="D77" s="479"/>
      <c r="E77" s="479"/>
      <c r="F77" s="263"/>
      <c r="G77" s="254"/>
      <c r="H77" s="267"/>
      <c r="I77" s="106">
        <v>6</v>
      </c>
      <c r="J77" s="49" t="s">
        <v>198</v>
      </c>
      <c r="K77" s="271"/>
      <c r="L77" s="271"/>
      <c r="M77" s="271"/>
      <c r="N77" s="510"/>
      <c r="O77" s="326"/>
      <c r="P77" s="510"/>
      <c r="Q77" s="527"/>
      <c r="R77" s="527"/>
      <c r="S77" s="529"/>
      <c r="T77" s="321"/>
      <c r="U77" s="321"/>
      <c r="V77" s="321"/>
      <c r="W77" s="321"/>
      <c r="X77" s="321"/>
      <c r="Y77" s="321"/>
    </row>
    <row r="78" spans="1:25" ht="15.5">
      <c r="A78" s="263"/>
      <c r="B78" s="263"/>
      <c r="C78" s="263"/>
      <c r="D78" s="479"/>
      <c r="E78" s="479"/>
      <c r="F78" s="263"/>
      <c r="G78" s="254"/>
      <c r="H78" s="267"/>
      <c r="I78" s="106">
        <v>7</v>
      </c>
      <c r="J78" s="49" t="s">
        <v>199</v>
      </c>
      <c r="K78" s="271"/>
      <c r="L78" s="271"/>
      <c r="M78" s="271"/>
      <c r="N78" s="510"/>
      <c r="O78" s="326"/>
      <c r="P78" s="510"/>
      <c r="Q78" s="527"/>
      <c r="R78" s="527"/>
      <c r="S78" s="529"/>
      <c r="T78" s="321"/>
      <c r="U78" s="321"/>
      <c r="V78" s="321"/>
      <c r="W78" s="321"/>
      <c r="X78" s="321"/>
      <c r="Y78" s="321"/>
    </row>
    <row r="79" spans="1:25" ht="15.5">
      <c r="A79" s="263"/>
      <c r="B79" s="263"/>
      <c r="C79" s="263"/>
      <c r="D79" s="479"/>
      <c r="E79" s="479"/>
      <c r="F79" s="263"/>
      <c r="G79" s="254"/>
      <c r="H79" s="267"/>
      <c r="I79" s="106">
        <v>77</v>
      </c>
      <c r="J79" s="15" t="s">
        <v>155</v>
      </c>
      <c r="K79" s="271"/>
      <c r="L79" s="271"/>
      <c r="M79" s="271"/>
      <c r="N79" s="511"/>
      <c r="O79" s="217"/>
      <c r="P79" s="512"/>
      <c r="Q79" s="528"/>
      <c r="R79" s="528"/>
      <c r="S79" s="530"/>
      <c r="T79" s="322"/>
      <c r="U79" s="322"/>
      <c r="V79" s="322"/>
      <c r="W79" s="322"/>
      <c r="X79" s="322"/>
      <c r="Y79" s="322"/>
    </row>
    <row r="80" spans="1:25" ht="31">
      <c r="A80" s="263" t="s">
        <v>189</v>
      </c>
      <c r="B80" s="263" t="s">
        <v>190</v>
      </c>
      <c r="C80" s="263" t="s">
        <v>146</v>
      </c>
      <c r="D80" s="479">
        <v>9</v>
      </c>
      <c r="E80" s="479" t="s">
        <v>200</v>
      </c>
      <c r="F80" s="263" t="s">
        <v>116</v>
      </c>
      <c r="G80" s="254" t="s">
        <v>201</v>
      </c>
      <c r="H80" s="270" t="s">
        <v>167</v>
      </c>
      <c r="I80" s="100">
        <v>1</v>
      </c>
      <c r="J80" s="49" t="s">
        <v>202</v>
      </c>
      <c r="K80" s="271" t="s">
        <v>46</v>
      </c>
      <c r="L80" s="271">
        <v>1</v>
      </c>
      <c r="M80" s="271" t="s">
        <v>40</v>
      </c>
      <c r="N80" s="509" t="s">
        <v>161</v>
      </c>
      <c r="O80" s="216" t="s">
        <v>51</v>
      </c>
      <c r="P80" s="509" t="s">
        <v>169</v>
      </c>
      <c r="Q80" s="559"/>
      <c r="R80" s="527"/>
      <c r="S80" s="560" t="s">
        <v>40</v>
      </c>
      <c r="T80" s="320" t="s">
        <v>40</v>
      </c>
      <c r="U80" s="320"/>
      <c r="V80" s="320"/>
      <c r="W80" s="320" t="s">
        <v>40</v>
      </c>
      <c r="X80" s="320" t="s">
        <v>40</v>
      </c>
      <c r="Y80" s="320" t="s">
        <v>40</v>
      </c>
    </row>
    <row r="81" spans="1:25" ht="31">
      <c r="A81" s="263"/>
      <c r="B81" s="263"/>
      <c r="C81" s="263"/>
      <c r="D81" s="479"/>
      <c r="E81" s="479"/>
      <c r="F81" s="263"/>
      <c r="G81" s="254"/>
      <c r="H81" s="270"/>
      <c r="I81" s="100">
        <v>2</v>
      </c>
      <c r="J81" s="49" t="s">
        <v>203</v>
      </c>
      <c r="K81" s="271"/>
      <c r="L81" s="271"/>
      <c r="M81" s="271"/>
      <c r="N81" s="510"/>
      <c r="O81" s="326"/>
      <c r="P81" s="510"/>
      <c r="Q81" s="527"/>
      <c r="R81" s="527"/>
      <c r="S81" s="529"/>
      <c r="T81" s="321"/>
      <c r="U81" s="321"/>
      <c r="V81" s="321"/>
      <c r="W81" s="321"/>
      <c r="X81" s="321"/>
      <c r="Y81" s="321"/>
    </row>
    <row r="82" spans="1:25" ht="30" customHeight="1">
      <c r="A82" s="263"/>
      <c r="B82" s="263"/>
      <c r="C82" s="263"/>
      <c r="D82" s="479"/>
      <c r="E82" s="479"/>
      <c r="F82" s="263"/>
      <c r="G82" s="254"/>
      <c r="H82" s="270"/>
      <c r="I82" s="100">
        <v>3</v>
      </c>
      <c r="J82" s="49" t="s">
        <v>195</v>
      </c>
      <c r="K82" s="271"/>
      <c r="L82" s="271"/>
      <c r="M82" s="271"/>
      <c r="N82" s="510"/>
      <c r="O82" s="326"/>
      <c r="P82" s="510"/>
      <c r="Q82" s="527"/>
      <c r="R82" s="527"/>
      <c r="S82" s="529"/>
      <c r="T82" s="321"/>
      <c r="U82" s="321"/>
      <c r="V82" s="321"/>
      <c r="W82" s="321"/>
      <c r="X82" s="321"/>
      <c r="Y82" s="321"/>
    </row>
    <row r="83" spans="1:25" ht="15.5">
      <c r="A83" s="263"/>
      <c r="B83" s="263"/>
      <c r="C83" s="263"/>
      <c r="D83" s="479"/>
      <c r="E83" s="479"/>
      <c r="F83" s="263"/>
      <c r="G83" s="254"/>
      <c r="H83" s="270"/>
      <c r="I83" s="100">
        <v>4</v>
      </c>
      <c r="J83" s="49" t="s">
        <v>196</v>
      </c>
      <c r="K83" s="271"/>
      <c r="L83" s="271"/>
      <c r="M83" s="271"/>
      <c r="N83" s="510"/>
      <c r="O83" s="326"/>
      <c r="P83" s="510"/>
      <c r="Q83" s="527"/>
      <c r="R83" s="527"/>
      <c r="S83" s="529"/>
      <c r="T83" s="321"/>
      <c r="U83" s="321"/>
      <c r="V83" s="321"/>
      <c r="W83" s="321"/>
      <c r="X83" s="321"/>
      <c r="Y83" s="321"/>
    </row>
    <row r="84" spans="1:25" ht="15" customHeight="1">
      <c r="A84" s="263"/>
      <c r="B84" s="263"/>
      <c r="C84" s="263"/>
      <c r="D84" s="479"/>
      <c r="E84" s="479"/>
      <c r="F84" s="263"/>
      <c r="G84" s="254"/>
      <c r="H84" s="270"/>
      <c r="I84" s="100">
        <v>5</v>
      </c>
      <c r="J84" s="49" t="s">
        <v>197</v>
      </c>
      <c r="K84" s="271"/>
      <c r="L84" s="271"/>
      <c r="M84" s="271"/>
      <c r="N84" s="510"/>
      <c r="O84" s="326"/>
      <c r="P84" s="510"/>
      <c r="Q84" s="527"/>
      <c r="R84" s="527"/>
      <c r="S84" s="529"/>
      <c r="T84" s="321"/>
      <c r="U84" s="321"/>
      <c r="V84" s="321"/>
      <c r="W84" s="321"/>
      <c r="X84" s="321"/>
      <c r="Y84" s="321"/>
    </row>
    <row r="85" spans="1:25" ht="15" customHeight="1">
      <c r="A85" s="263"/>
      <c r="B85" s="263"/>
      <c r="C85" s="263"/>
      <c r="D85" s="479"/>
      <c r="E85" s="479"/>
      <c r="F85" s="263"/>
      <c r="G85" s="254"/>
      <c r="H85" s="270"/>
      <c r="I85" s="100">
        <v>6</v>
      </c>
      <c r="J85" s="49" t="s">
        <v>198</v>
      </c>
      <c r="K85" s="271"/>
      <c r="L85" s="271"/>
      <c r="M85" s="271"/>
      <c r="N85" s="510"/>
      <c r="O85" s="326"/>
      <c r="P85" s="510"/>
      <c r="Q85" s="527"/>
      <c r="R85" s="527"/>
      <c r="S85" s="529"/>
      <c r="T85" s="321"/>
      <c r="U85" s="321"/>
      <c r="V85" s="321"/>
      <c r="W85" s="321"/>
      <c r="X85" s="321"/>
      <c r="Y85" s="321"/>
    </row>
    <row r="86" spans="1:25" ht="15.5">
      <c r="A86" s="263"/>
      <c r="B86" s="263"/>
      <c r="C86" s="263"/>
      <c r="D86" s="479"/>
      <c r="E86" s="479"/>
      <c r="F86" s="263"/>
      <c r="G86" s="254"/>
      <c r="H86" s="270"/>
      <c r="I86" s="100">
        <v>7</v>
      </c>
      <c r="J86" s="49" t="s">
        <v>199</v>
      </c>
      <c r="K86" s="271"/>
      <c r="L86" s="271"/>
      <c r="M86" s="271"/>
      <c r="N86" s="510"/>
      <c r="O86" s="326"/>
      <c r="P86" s="510"/>
      <c r="Q86" s="527"/>
      <c r="R86" s="527"/>
      <c r="S86" s="529"/>
      <c r="T86" s="321"/>
      <c r="U86" s="321"/>
      <c r="V86" s="321"/>
      <c r="W86" s="321"/>
      <c r="X86" s="321"/>
      <c r="Y86" s="321"/>
    </row>
    <row r="87" spans="1:25" ht="15.5">
      <c r="A87" s="263"/>
      <c r="B87" s="263"/>
      <c r="C87" s="263"/>
      <c r="D87" s="479"/>
      <c r="E87" s="479"/>
      <c r="F87" s="263"/>
      <c r="G87" s="254"/>
      <c r="H87" s="270"/>
      <c r="I87" s="100">
        <v>77</v>
      </c>
      <c r="J87" s="15" t="s">
        <v>155</v>
      </c>
      <c r="K87" s="271"/>
      <c r="L87" s="271"/>
      <c r="M87" s="271"/>
      <c r="N87" s="511"/>
      <c r="O87" s="217"/>
      <c r="P87" s="512"/>
      <c r="Q87" s="528"/>
      <c r="R87" s="528"/>
      <c r="S87" s="530"/>
      <c r="T87" s="322"/>
      <c r="U87" s="322"/>
      <c r="V87" s="322"/>
      <c r="W87" s="322"/>
      <c r="X87" s="322"/>
      <c r="Y87" s="322"/>
    </row>
    <row r="88" spans="1:25" ht="15" customHeight="1">
      <c r="A88" s="49" t="s">
        <v>204</v>
      </c>
      <c r="B88" s="49" t="s">
        <v>205</v>
      </c>
      <c r="C88" s="49" t="s">
        <v>114</v>
      </c>
      <c r="D88" s="479">
        <v>9</v>
      </c>
      <c r="E88" s="479" t="s">
        <v>206</v>
      </c>
      <c r="F88" s="263" t="s">
        <v>207</v>
      </c>
      <c r="G88" s="263" t="s">
        <v>208</v>
      </c>
      <c r="H88" s="267" t="s">
        <v>209</v>
      </c>
      <c r="I88" s="106">
        <v>1</v>
      </c>
      <c r="J88" s="49" t="s">
        <v>210</v>
      </c>
      <c r="K88" s="271" t="s">
        <v>65</v>
      </c>
      <c r="L88" s="271">
        <v>1</v>
      </c>
      <c r="M88" s="271" t="s">
        <v>40</v>
      </c>
      <c r="N88" s="509" t="s">
        <v>50</v>
      </c>
      <c r="O88" s="216" t="s">
        <v>51</v>
      </c>
      <c r="P88" s="509" t="s">
        <v>45</v>
      </c>
      <c r="Q88" s="526" t="s">
        <v>40</v>
      </c>
      <c r="R88" s="526" t="s">
        <v>40</v>
      </c>
      <c r="S88" s="320" t="s">
        <v>40</v>
      </c>
      <c r="T88" s="320" t="s">
        <v>40</v>
      </c>
      <c r="U88" s="320"/>
      <c r="V88" s="320"/>
      <c r="W88" s="320" t="s">
        <v>40</v>
      </c>
      <c r="X88" s="320" t="s">
        <v>40</v>
      </c>
      <c r="Y88" s="320" t="s">
        <v>40</v>
      </c>
    </row>
    <row r="89" spans="1:25" ht="17.25" customHeight="1">
      <c r="A89" s="263" t="s">
        <v>211</v>
      </c>
      <c r="B89" s="263" t="s">
        <v>205</v>
      </c>
      <c r="C89" s="263" t="s">
        <v>114</v>
      </c>
      <c r="D89" s="479"/>
      <c r="E89" s="479"/>
      <c r="F89" s="263"/>
      <c r="G89" s="263"/>
      <c r="H89" s="267"/>
      <c r="I89" s="106">
        <v>2</v>
      </c>
      <c r="J89" s="49" t="s">
        <v>212</v>
      </c>
      <c r="K89" s="271"/>
      <c r="L89" s="271"/>
      <c r="M89" s="271"/>
      <c r="N89" s="510"/>
      <c r="O89" s="326"/>
      <c r="P89" s="510"/>
      <c r="Q89" s="521"/>
      <c r="R89" s="521"/>
      <c r="S89" s="321"/>
      <c r="T89" s="321"/>
      <c r="U89" s="321"/>
      <c r="V89" s="321"/>
      <c r="W89" s="321"/>
      <c r="X89" s="321"/>
      <c r="Y89" s="321"/>
    </row>
    <row r="90" spans="1:25" ht="17.25" customHeight="1">
      <c r="A90" s="263"/>
      <c r="B90" s="263"/>
      <c r="C90" s="263"/>
      <c r="D90" s="479"/>
      <c r="E90" s="479"/>
      <c r="F90" s="263"/>
      <c r="G90" s="263"/>
      <c r="H90" s="267"/>
      <c r="I90" s="106">
        <v>3</v>
      </c>
      <c r="J90" s="49" t="s">
        <v>213</v>
      </c>
      <c r="K90" s="271"/>
      <c r="L90" s="271"/>
      <c r="M90" s="271"/>
      <c r="N90" s="510"/>
      <c r="O90" s="326"/>
      <c r="P90" s="510"/>
      <c r="Q90" s="521"/>
      <c r="R90" s="521"/>
      <c r="S90" s="321"/>
      <c r="T90" s="321"/>
      <c r="U90" s="321"/>
      <c r="V90" s="321"/>
      <c r="W90" s="321"/>
      <c r="X90" s="321"/>
      <c r="Y90" s="321"/>
    </row>
    <row r="91" spans="1:25" ht="18" customHeight="1">
      <c r="A91" s="263"/>
      <c r="B91" s="263"/>
      <c r="C91" s="263"/>
      <c r="D91" s="479"/>
      <c r="E91" s="479"/>
      <c r="F91" s="263"/>
      <c r="G91" s="263"/>
      <c r="H91" s="267"/>
      <c r="I91" s="104">
        <v>77</v>
      </c>
      <c r="J91" s="16" t="s">
        <v>155</v>
      </c>
      <c r="K91" s="271"/>
      <c r="L91" s="271"/>
      <c r="M91" s="271"/>
      <c r="N91" s="511"/>
      <c r="O91" s="217"/>
      <c r="P91" s="512"/>
      <c r="Q91" s="522"/>
      <c r="R91" s="522"/>
      <c r="S91" s="327"/>
      <c r="T91" s="322"/>
      <c r="U91" s="322"/>
      <c r="V91" s="322"/>
      <c r="W91" s="322"/>
      <c r="X91" s="322"/>
      <c r="Y91" s="322"/>
    </row>
    <row r="92" spans="1:25" ht="15" customHeight="1">
      <c r="A92" s="263" t="s">
        <v>214</v>
      </c>
      <c r="B92" s="263" t="s">
        <v>215</v>
      </c>
      <c r="C92" s="263" t="s">
        <v>158</v>
      </c>
      <c r="D92" s="479">
        <v>9</v>
      </c>
      <c r="E92" s="479" t="s">
        <v>216</v>
      </c>
      <c r="F92" s="263" t="s">
        <v>116</v>
      </c>
      <c r="G92" s="254" t="s">
        <v>217</v>
      </c>
      <c r="H92" s="267" t="s">
        <v>40</v>
      </c>
      <c r="I92" s="106">
        <v>1</v>
      </c>
      <c r="J92" s="49" t="s">
        <v>119</v>
      </c>
      <c r="K92" s="271" t="s">
        <v>65</v>
      </c>
      <c r="L92" s="271">
        <v>1</v>
      </c>
      <c r="M92" s="271" t="s">
        <v>40</v>
      </c>
      <c r="N92" s="510" t="s">
        <v>50</v>
      </c>
      <c r="O92" s="326" t="s">
        <v>51</v>
      </c>
      <c r="P92" s="510" t="s">
        <v>45</v>
      </c>
      <c r="Q92" s="521" t="s">
        <v>40</v>
      </c>
      <c r="R92" s="521" t="s">
        <v>40</v>
      </c>
      <c r="S92" s="321" t="s">
        <v>40</v>
      </c>
      <c r="T92" s="321" t="s">
        <v>40</v>
      </c>
      <c r="U92" s="321"/>
      <c r="V92" s="321" t="s">
        <v>40</v>
      </c>
      <c r="W92" s="321" t="s">
        <v>40</v>
      </c>
      <c r="X92" s="321" t="s">
        <v>40</v>
      </c>
      <c r="Y92" s="321" t="s">
        <v>40</v>
      </c>
    </row>
    <row r="93" spans="1:25" ht="15.75" customHeight="1">
      <c r="A93" s="263"/>
      <c r="B93" s="263"/>
      <c r="C93" s="263"/>
      <c r="D93" s="479"/>
      <c r="E93" s="479"/>
      <c r="F93" s="263"/>
      <c r="G93" s="254"/>
      <c r="H93" s="267"/>
      <c r="I93" s="106">
        <v>2</v>
      </c>
      <c r="J93" s="49" t="s">
        <v>120</v>
      </c>
      <c r="K93" s="271"/>
      <c r="L93" s="271"/>
      <c r="M93" s="271"/>
      <c r="N93" s="510"/>
      <c r="O93" s="326"/>
      <c r="P93" s="510"/>
      <c r="Q93" s="521"/>
      <c r="R93" s="521"/>
      <c r="S93" s="321"/>
      <c r="T93" s="321"/>
      <c r="U93" s="321"/>
      <c r="V93" s="321"/>
      <c r="W93" s="321"/>
      <c r="X93" s="321"/>
      <c r="Y93" s="321"/>
    </row>
    <row r="94" spans="1:25" ht="15.75" customHeight="1">
      <c r="A94" s="263"/>
      <c r="B94" s="263"/>
      <c r="C94" s="263"/>
      <c r="D94" s="479"/>
      <c r="E94" s="479"/>
      <c r="F94" s="263"/>
      <c r="G94" s="254"/>
      <c r="H94" s="267"/>
      <c r="I94" s="106">
        <v>77</v>
      </c>
      <c r="J94" s="49" t="s">
        <v>155</v>
      </c>
      <c r="K94" s="271"/>
      <c r="L94" s="271"/>
      <c r="M94" s="271"/>
      <c r="N94" s="511"/>
      <c r="O94" s="217"/>
      <c r="P94" s="512"/>
      <c r="Q94" s="522"/>
      <c r="R94" s="522"/>
      <c r="S94" s="327"/>
      <c r="T94" s="327"/>
      <c r="U94" s="327"/>
      <c r="V94" s="327"/>
      <c r="W94" s="327"/>
      <c r="X94" s="327"/>
      <c r="Y94" s="327"/>
    </row>
    <row r="95" spans="1:25" ht="15.75" customHeight="1">
      <c r="A95" s="263" t="s">
        <v>218</v>
      </c>
      <c r="B95" s="263" t="s">
        <v>219</v>
      </c>
      <c r="C95" s="401" t="s">
        <v>158</v>
      </c>
      <c r="D95" s="479">
        <v>10</v>
      </c>
      <c r="E95" s="479" t="s">
        <v>220</v>
      </c>
      <c r="F95" s="263" t="s">
        <v>221</v>
      </c>
      <c r="G95" s="263" t="s">
        <v>222</v>
      </c>
      <c r="H95" s="270"/>
      <c r="I95" s="100">
        <v>1</v>
      </c>
      <c r="J95" s="15" t="s">
        <v>151</v>
      </c>
      <c r="K95" s="271" t="s">
        <v>46</v>
      </c>
      <c r="L95" s="271">
        <v>1</v>
      </c>
      <c r="M95" s="271" t="s">
        <v>40</v>
      </c>
      <c r="N95" s="509" t="s">
        <v>50</v>
      </c>
      <c r="O95" s="216" t="s">
        <v>51</v>
      </c>
      <c r="P95" s="509" t="s">
        <v>45</v>
      </c>
      <c r="Q95" s="526"/>
      <c r="R95" s="526"/>
      <c r="S95" s="320" t="s">
        <v>40</v>
      </c>
      <c r="T95" s="320" t="s">
        <v>40</v>
      </c>
      <c r="U95" s="320" t="s">
        <v>40</v>
      </c>
      <c r="V95" s="320" t="s">
        <v>40</v>
      </c>
      <c r="W95" s="320" t="s">
        <v>40</v>
      </c>
      <c r="X95" s="320" t="s">
        <v>40</v>
      </c>
      <c r="Y95" s="320" t="s">
        <v>40</v>
      </c>
    </row>
    <row r="96" spans="1:25" ht="15.75" customHeight="1">
      <c r="A96" s="263"/>
      <c r="B96" s="263"/>
      <c r="C96" s="401"/>
      <c r="D96" s="479"/>
      <c r="E96" s="479"/>
      <c r="F96" s="263"/>
      <c r="G96" s="263"/>
      <c r="H96" s="270"/>
      <c r="I96" s="100">
        <v>2</v>
      </c>
      <c r="J96" s="15" t="s">
        <v>152</v>
      </c>
      <c r="K96" s="271"/>
      <c r="L96" s="271"/>
      <c r="M96" s="271"/>
      <c r="N96" s="510"/>
      <c r="O96" s="326"/>
      <c r="P96" s="510"/>
      <c r="Q96" s="521"/>
      <c r="R96" s="521"/>
      <c r="S96" s="321"/>
      <c r="T96" s="321"/>
      <c r="U96" s="321"/>
      <c r="V96" s="321"/>
      <c r="W96" s="321"/>
      <c r="X96" s="321"/>
      <c r="Y96" s="321"/>
    </row>
    <row r="97" spans="1:25" ht="15.75" customHeight="1">
      <c r="A97" s="263"/>
      <c r="B97" s="263"/>
      <c r="C97" s="401"/>
      <c r="D97" s="479"/>
      <c r="E97" s="479"/>
      <c r="F97" s="263"/>
      <c r="G97" s="263"/>
      <c r="H97" s="270"/>
      <c r="I97" s="100">
        <v>3</v>
      </c>
      <c r="J97" s="15" t="s">
        <v>153</v>
      </c>
      <c r="K97" s="271"/>
      <c r="L97" s="271"/>
      <c r="M97" s="271"/>
      <c r="N97" s="510"/>
      <c r="O97" s="326"/>
      <c r="P97" s="510"/>
      <c r="Q97" s="521"/>
      <c r="R97" s="521"/>
      <c r="S97" s="321"/>
      <c r="T97" s="321"/>
      <c r="U97" s="321"/>
      <c r="V97" s="321"/>
      <c r="W97" s="321"/>
      <c r="X97" s="321"/>
      <c r="Y97" s="321"/>
    </row>
    <row r="98" spans="1:25" ht="15.75" customHeight="1">
      <c r="A98" s="263"/>
      <c r="B98" s="263"/>
      <c r="C98" s="401"/>
      <c r="D98" s="479"/>
      <c r="E98" s="479"/>
      <c r="F98" s="263"/>
      <c r="G98" s="263"/>
      <c r="H98" s="270"/>
      <c r="I98" s="100">
        <v>4</v>
      </c>
      <c r="J98" s="15" t="s">
        <v>154</v>
      </c>
      <c r="K98" s="271"/>
      <c r="L98" s="271"/>
      <c r="M98" s="271"/>
      <c r="N98" s="510"/>
      <c r="O98" s="326"/>
      <c r="P98" s="510"/>
      <c r="Q98" s="521"/>
      <c r="R98" s="521"/>
      <c r="S98" s="321"/>
      <c r="T98" s="321"/>
      <c r="U98" s="321"/>
      <c r="V98" s="321"/>
      <c r="W98" s="321"/>
      <c r="X98" s="321"/>
      <c r="Y98" s="321"/>
    </row>
    <row r="99" spans="1:25" ht="15.5">
      <c r="A99" s="263"/>
      <c r="B99" s="263"/>
      <c r="C99" s="401"/>
      <c r="D99" s="479"/>
      <c r="E99" s="479"/>
      <c r="F99" s="263"/>
      <c r="G99" s="263"/>
      <c r="H99" s="270"/>
      <c r="I99" s="100">
        <v>77</v>
      </c>
      <c r="J99" s="15" t="s">
        <v>155</v>
      </c>
      <c r="K99" s="271"/>
      <c r="L99" s="271"/>
      <c r="M99" s="271"/>
      <c r="N99" s="511"/>
      <c r="O99" s="217"/>
      <c r="P99" s="512"/>
      <c r="Q99" s="522"/>
      <c r="R99" s="522"/>
      <c r="S99" s="327"/>
      <c r="T99" s="322"/>
      <c r="U99" s="322"/>
      <c r="V99" s="322"/>
      <c r="W99" s="322"/>
      <c r="X99" s="322"/>
      <c r="Y99" s="322"/>
    </row>
    <row r="100" spans="1:25" ht="18" customHeight="1">
      <c r="A100" s="223" t="s">
        <v>223</v>
      </c>
      <c r="B100" s="223" t="s">
        <v>224</v>
      </c>
      <c r="C100" s="223" t="s">
        <v>225</v>
      </c>
      <c r="D100" s="224">
        <v>10</v>
      </c>
      <c r="E100" s="224" t="s">
        <v>226</v>
      </c>
      <c r="F100" s="269" t="s">
        <v>227</v>
      </c>
      <c r="G100" s="254" t="s">
        <v>228</v>
      </c>
      <c r="H100" s="270"/>
      <c r="I100" s="100">
        <v>1</v>
      </c>
      <c r="J100" s="15" t="s">
        <v>119</v>
      </c>
      <c r="K100" s="247" t="s">
        <v>46</v>
      </c>
      <c r="L100" s="247">
        <v>1</v>
      </c>
      <c r="M100" s="247"/>
      <c r="N100" s="328" t="s">
        <v>50</v>
      </c>
      <c r="O100" s="456" t="s">
        <v>51</v>
      </c>
      <c r="P100" s="456" t="s">
        <v>45</v>
      </c>
      <c r="Q100" s="295"/>
      <c r="R100" s="295"/>
      <c r="S100" s="241"/>
      <c r="T100" s="241"/>
      <c r="U100" s="241"/>
      <c r="V100" s="241"/>
      <c r="W100" s="241"/>
      <c r="X100" s="241"/>
      <c r="Y100" s="241"/>
    </row>
    <row r="101" spans="1:25" ht="18" customHeight="1">
      <c r="A101" s="223"/>
      <c r="B101" s="223"/>
      <c r="C101" s="223"/>
      <c r="D101" s="224"/>
      <c r="E101" s="224"/>
      <c r="F101" s="269"/>
      <c r="G101" s="254"/>
      <c r="H101" s="270"/>
      <c r="I101" s="100">
        <v>2</v>
      </c>
      <c r="J101" s="15" t="s">
        <v>135</v>
      </c>
      <c r="K101" s="247"/>
      <c r="L101" s="247"/>
      <c r="M101" s="247"/>
      <c r="N101" s="329"/>
      <c r="O101" s="457"/>
      <c r="P101" s="457"/>
      <c r="Q101" s="296"/>
      <c r="R101" s="296"/>
      <c r="S101" s="242"/>
      <c r="T101" s="242"/>
      <c r="U101" s="242"/>
      <c r="V101" s="242"/>
      <c r="W101" s="242"/>
      <c r="X101" s="242"/>
      <c r="Y101" s="242"/>
    </row>
    <row r="102" spans="1:25" ht="18" customHeight="1">
      <c r="A102" s="223"/>
      <c r="B102" s="223"/>
      <c r="C102" s="223"/>
      <c r="D102" s="224"/>
      <c r="E102" s="224"/>
      <c r="F102" s="269"/>
      <c r="G102" s="254"/>
      <c r="H102" s="270"/>
      <c r="I102" s="104">
        <v>77</v>
      </c>
      <c r="J102" s="16" t="s">
        <v>155</v>
      </c>
      <c r="K102" s="247"/>
      <c r="L102" s="247"/>
      <c r="M102" s="247"/>
      <c r="N102" s="329"/>
      <c r="O102" s="457"/>
      <c r="P102" s="457"/>
      <c r="Q102" s="296"/>
      <c r="R102" s="296"/>
      <c r="S102" s="242"/>
      <c r="T102" s="242"/>
      <c r="U102" s="242"/>
      <c r="V102" s="242"/>
      <c r="W102" s="242"/>
      <c r="X102" s="242"/>
      <c r="Y102" s="242"/>
    </row>
    <row r="103" spans="1:25" ht="18" customHeight="1">
      <c r="A103" s="263" t="s">
        <v>229</v>
      </c>
      <c r="B103" s="263" t="s">
        <v>230</v>
      </c>
      <c r="C103" s="263" t="s">
        <v>158</v>
      </c>
      <c r="D103" s="479">
        <v>10</v>
      </c>
      <c r="E103" s="479" t="s">
        <v>231</v>
      </c>
      <c r="F103" s="524" t="s">
        <v>116</v>
      </c>
      <c r="G103" s="254" t="s">
        <v>232</v>
      </c>
      <c r="H103" s="270" t="s">
        <v>233</v>
      </c>
      <c r="I103" s="100">
        <v>1</v>
      </c>
      <c r="J103" s="15" t="s">
        <v>234</v>
      </c>
      <c r="K103" s="271" t="s">
        <v>46</v>
      </c>
      <c r="L103" s="271">
        <v>1</v>
      </c>
      <c r="M103" s="271" t="s">
        <v>40</v>
      </c>
      <c r="N103" s="509" t="s">
        <v>161</v>
      </c>
      <c r="O103" s="216" t="s">
        <v>51</v>
      </c>
      <c r="P103" s="509" t="s">
        <v>169</v>
      </c>
      <c r="Q103" s="492"/>
      <c r="R103" s="492"/>
      <c r="S103" s="320" t="s">
        <v>40</v>
      </c>
      <c r="T103" s="275" t="s">
        <v>40</v>
      </c>
      <c r="U103" s="275" t="s">
        <v>40</v>
      </c>
      <c r="V103" s="275" t="s">
        <v>40</v>
      </c>
      <c r="W103" s="275" t="s">
        <v>40</v>
      </c>
      <c r="X103" s="275" t="s">
        <v>40</v>
      </c>
      <c r="Y103" s="275" t="s">
        <v>40</v>
      </c>
    </row>
    <row r="104" spans="1:25" ht="18" customHeight="1">
      <c r="A104" s="263"/>
      <c r="B104" s="263"/>
      <c r="C104" s="263"/>
      <c r="D104" s="479"/>
      <c r="E104" s="479"/>
      <c r="F104" s="524"/>
      <c r="G104" s="254"/>
      <c r="H104" s="270"/>
      <c r="I104" s="100">
        <v>2</v>
      </c>
      <c r="J104" s="15" t="s">
        <v>235</v>
      </c>
      <c r="K104" s="271"/>
      <c r="L104" s="271"/>
      <c r="M104" s="271"/>
      <c r="N104" s="510"/>
      <c r="O104" s="326"/>
      <c r="P104" s="510"/>
      <c r="Q104" s="493"/>
      <c r="R104" s="493"/>
      <c r="S104" s="321"/>
      <c r="T104" s="276"/>
      <c r="U104" s="276"/>
      <c r="V104" s="276"/>
      <c r="W104" s="276"/>
      <c r="X104" s="276"/>
      <c r="Y104" s="276"/>
    </row>
    <row r="105" spans="1:25" ht="18" customHeight="1">
      <c r="A105" s="263"/>
      <c r="B105" s="263"/>
      <c r="C105" s="263"/>
      <c r="D105" s="479"/>
      <c r="E105" s="479"/>
      <c r="F105" s="524"/>
      <c r="G105" s="254"/>
      <c r="H105" s="270"/>
      <c r="I105" s="100">
        <v>3</v>
      </c>
      <c r="J105" s="15" t="s">
        <v>236</v>
      </c>
      <c r="K105" s="271"/>
      <c r="L105" s="271"/>
      <c r="M105" s="271"/>
      <c r="N105" s="510"/>
      <c r="O105" s="326"/>
      <c r="P105" s="510"/>
      <c r="Q105" s="493"/>
      <c r="R105" s="493"/>
      <c r="S105" s="321"/>
      <c r="T105" s="276"/>
      <c r="U105" s="276"/>
      <c r="V105" s="276"/>
      <c r="W105" s="276"/>
      <c r="X105" s="276"/>
      <c r="Y105" s="276"/>
    </row>
    <row r="106" spans="1:25" s="5" customFormat="1" ht="20.25" customHeight="1">
      <c r="A106" s="263"/>
      <c r="B106" s="263"/>
      <c r="C106" s="263"/>
      <c r="D106" s="479"/>
      <c r="E106" s="479"/>
      <c r="F106" s="524"/>
      <c r="G106" s="254"/>
      <c r="H106" s="270"/>
      <c r="I106" s="100">
        <v>4</v>
      </c>
      <c r="J106" s="15" t="s">
        <v>237</v>
      </c>
      <c r="K106" s="271"/>
      <c r="L106" s="271"/>
      <c r="M106" s="271"/>
      <c r="N106" s="510"/>
      <c r="O106" s="326"/>
      <c r="P106" s="510"/>
      <c r="Q106" s="493"/>
      <c r="R106" s="493"/>
      <c r="S106" s="321"/>
      <c r="T106" s="276"/>
      <c r="U106" s="276"/>
      <c r="V106" s="276"/>
      <c r="W106" s="276"/>
      <c r="X106" s="276"/>
      <c r="Y106" s="276"/>
    </row>
    <row r="107" spans="1:25" ht="18" customHeight="1">
      <c r="A107" s="263"/>
      <c r="B107" s="263"/>
      <c r="C107" s="263"/>
      <c r="D107" s="479"/>
      <c r="E107" s="479"/>
      <c r="F107" s="524"/>
      <c r="G107" s="254"/>
      <c r="H107" s="270"/>
      <c r="I107" s="100">
        <v>5</v>
      </c>
      <c r="J107" s="15" t="s">
        <v>238</v>
      </c>
      <c r="K107" s="271"/>
      <c r="L107" s="271"/>
      <c r="M107" s="271"/>
      <c r="N107" s="510"/>
      <c r="O107" s="326"/>
      <c r="P107" s="510"/>
      <c r="Q107" s="493"/>
      <c r="R107" s="493"/>
      <c r="S107" s="321"/>
      <c r="T107" s="276"/>
      <c r="U107" s="276"/>
      <c r="V107" s="276"/>
      <c r="W107" s="276"/>
      <c r="X107" s="276"/>
      <c r="Y107" s="276"/>
    </row>
    <row r="108" spans="1:25" ht="20.25" customHeight="1">
      <c r="A108" s="263"/>
      <c r="B108" s="263"/>
      <c r="C108" s="263"/>
      <c r="D108" s="479"/>
      <c r="E108" s="479"/>
      <c r="F108" s="524"/>
      <c r="G108" s="254"/>
      <c r="H108" s="270"/>
      <c r="I108" s="100">
        <v>6</v>
      </c>
      <c r="J108" s="49" t="s">
        <v>239</v>
      </c>
      <c r="K108" s="271"/>
      <c r="L108" s="271"/>
      <c r="M108" s="271"/>
      <c r="N108" s="510"/>
      <c r="O108" s="326"/>
      <c r="P108" s="510"/>
      <c r="Q108" s="493"/>
      <c r="R108" s="493"/>
      <c r="S108" s="321"/>
      <c r="T108" s="276"/>
      <c r="U108" s="276"/>
      <c r="V108" s="276"/>
      <c r="W108" s="276"/>
      <c r="X108" s="276"/>
      <c r="Y108" s="276"/>
    </row>
    <row r="109" spans="1:25" ht="20.25" customHeight="1">
      <c r="A109" s="263"/>
      <c r="B109" s="263"/>
      <c r="C109" s="263"/>
      <c r="D109" s="479"/>
      <c r="E109" s="479"/>
      <c r="F109" s="524"/>
      <c r="G109" s="254"/>
      <c r="H109" s="270"/>
      <c r="I109" s="100">
        <v>7</v>
      </c>
      <c r="J109" s="15" t="s">
        <v>240</v>
      </c>
      <c r="K109" s="271"/>
      <c r="L109" s="271"/>
      <c r="M109" s="271"/>
      <c r="N109" s="510"/>
      <c r="O109" s="326"/>
      <c r="P109" s="510"/>
      <c r="Q109" s="493"/>
      <c r="R109" s="493"/>
      <c r="S109" s="321"/>
      <c r="T109" s="276"/>
      <c r="U109" s="276"/>
      <c r="V109" s="276"/>
      <c r="W109" s="276"/>
      <c r="X109" s="276"/>
      <c r="Y109" s="276"/>
    </row>
    <row r="110" spans="1:25" ht="18" customHeight="1">
      <c r="A110" s="263"/>
      <c r="B110" s="263"/>
      <c r="C110" s="263"/>
      <c r="D110" s="479"/>
      <c r="E110" s="479"/>
      <c r="F110" s="524"/>
      <c r="G110" s="254"/>
      <c r="H110" s="270"/>
      <c r="I110" s="100">
        <v>8</v>
      </c>
      <c r="J110" s="15" t="s">
        <v>241</v>
      </c>
      <c r="K110" s="271"/>
      <c r="L110" s="271"/>
      <c r="M110" s="271"/>
      <c r="N110" s="510"/>
      <c r="O110" s="326"/>
      <c r="P110" s="510"/>
      <c r="Q110" s="493"/>
      <c r="R110" s="493"/>
      <c r="S110" s="321"/>
      <c r="T110" s="276"/>
      <c r="U110" s="276"/>
      <c r="V110" s="276"/>
      <c r="W110" s="276"/>
      <c r="X110" s="276"/>
      <c r="Y110" s="276"/>
    </row>
    <row r="111" spans="1:25" ht="14.25" customHeight="1">
      <c r="A111" s="263"/>
      <c r="B111" s="263"/>
      <c r="C111" s="263"/>
      <c r="D111" s="479"/>
      <c r="E111" s="479"/>
      <c r="F111" s="524"/>
      <c r="G111" s="254"/>
      <c r="H111" s="270"/>
      <c r="I111" s="100">
        <v>9</v>
      </c>
      <c r="J111" s="15" t="s">
        <v>242</v>
      </c>
      <c r="K111" s="271"/>
      <c r="L111" s="271"/>
      <c r="M111" s="271"/>
      <c r="N111" s="510"/>
      <c r="O111" s="326"/>
      <c r="P111" s="510"/>
      <c r="Q111" s="493"/>
      <c r="R111" s="493"/>
      <c r="S111" s="321"/>
      <c r="T111" s="276"/>
      <c r="U111" s="276"/>
      <c r="V111" s="276"/>
      <c r="W111" s="276"/>
      <c r="X111" s="276"/>
      <c r="Y111" s="276"/>
    </row>
    <row r="112" spans="1:25" ht="14.25" customHeight="1">
      <c r="A112" s="263"/>
      <c r="B112" s="263"/>
      <c r="C112" s="263"/>
      <c r="D112" s="479"/>
      <c r="E112" s="479"/>
      <c r="F112" s="524"/>
      <c r="G112" s="254"/>
      <c r="H112" s="270"/>
      <c r="I112" s="100">
        <v>77</v>
      </c>
      <c r="J112" s="15" t="s">
        <v>243</v>
      </c>
      <c r="K112" s="271"/>
      <c r="L112" s="271"/>
      <c r="M112" s="271"/>
      <c r="N112" s="511"/>
      <c r="O112" s="217"/>
      <c r="P112" s="512"/>
      <c r="Q112" s="494"/>
      <c r="R112" s="494"/>
      <c r="S112" s="327"/>
      <c r="T112" s="277"/>
      <c r="U112" s="277"/>
      <c r="V112" s="277"/>
      <c r="W112" s="277"/>
      <c r="X112" s="277"/>
      <c r="Y112" s="277"/>
    </row>
    <row r="113" spans="1:25" ht="31">
      <c r="A113" s="49" t="s">
        <v>40</v>
      </c>
      <c r="B113" s="49" t="s">
        <v>40</v>
      </c>
      <c r="C113" s="49" t="s">
        <v>40</v>
      </c>
      <c r="D113" s="150">
        <v>11</v>
      </c>
      <c r="E113" s="150" t="s">
        <v>244</v>
      </c>
      <c r="F113" s="49" t="s">
        <v>40</v>
      </c>
      <c r="G113" s="65" t="s">
        <v>245</v>
      </c>
      <c r="H113" s="75" t="s">
        <v>40</v>
      </c>
      <c r="I113" s="100" t="s">
        <v>40</v>
      </c>
      <c r="J113" s="59" t="s">
        <v>40</v>
      </c>
      <c r="K113" s="106" t="s">
        <v>46</v>
      </c>
      <c r="L113" s="106">
        <v>1</v>
      </c>
      <c r="M113" s="106" t="s">
        <v>40</v>
      </c>
      <c r="N113" s="177" t="s">
        <v>44</v>
      </c>
      <c r="O113" s="177" t="s">
        <v>40</v>
      </c>
      <c r="P113" s="177" t="s">
        <v>45</v>
      </c>
      <c r="Q113" s="190" t="s">
        <v>40</v>
      </c>
      <c r="R113" s="191" t="s">
        <v>40</v>
      </c>
      <c r="S113" s="53" t="s">
        <v>40</v>
      </c>
      <c r="T113" s="16" t="s">
        <v>40</v>
      </c>
      <c r="U113" s="89"/>
      <c r="V113" s="21" t="s">
        <v>40</v>
      </c>
      <c r="W113" s="21" t="s">
        <v>40</v>
      </c>
      <c r="X113" s="21" t="s">
        <v>40</v>
      </c>
      <c r="Y113" s="21" t="s">
        <v>40</v>
      </c>
    </row>
    <row r="114" spans="1:25" ht="14.25" customHeight="1">
      <c r="A114" s="263" t="s">
        <v>246</v>
      </c>
      <c r="B114" s="263" t="s">
        <v>247</v>
      </c>
      <c r="C114" s="263" t="s">
        <v>146</v>
      </c>
      <c r="D114" s="479">
        <v>11</v>
      </c>
      <c r="E114" s="479" t="s">
        <v>248</v>
      </c>
      <c r="F114" s="524" t="s">
        <v>116</v>
      </c>
      <c r="G114" s="287" t="s">
        <v>249</v>
      </c>
      <c r="H114" s="270" t="s">
        <v>250</v>
      </c>
      <c r="I114" s="107">
        <v>1</v>
      </c>
      <c r="J114" s="51" t="s">
        <v>251</v>
      </c>
      <c r="K114" s="271" t="s">
        <v>65</v>
      </c>
      <c r="L114" s="271">
        <v>1</v>
      </c>
      <c r="M114" s="271" t="s">
        <v>40</v>
      </c>
      <c r="N114" s="509" t="s">
        <v>50</v>
      </c>
      <c r="O114" s="216" t="s">
        <v>51</v>
      </c>
      <c r="P114" s="548" t="s">
        <v>45</v>
      </c>
      <c r="Q114" s="551"/>
      <c r="R114" s="551"/>
      <c r="S114" s="317" t="s">
        <v>40</v>
      </c>
      <c r="T114" s="22" t="s">
        <v>40</v>
      </c>
      <c r="U114" s="338"/>
      <c r="V114" s="216"/>
      <c r="W114" s="216"/>
      <c r="X114" s="216"/>
      <c r="Y114" s="216"/>
    </row>
    <row r="115" spans="1:25" ht="14.25" customHeight="1">
      <c r="A115" s="263"/>
      <c r="B115" s="263"/>
      <c r="C115" s="263"/>
      <c r="D115" s="479"/>
      <c r="E115" s="479"/>
      <c r="F115" s="524"/>
      <c r="G115" s="287"/>
      <c r="H115" s="270"/>
      <c r="I115" s="107">
        <v>2</v>
      </c>
      <c r="J115" s="51" t="s">
        <v>252</v>
      </c>
      <c r="K115" s="271"/>
      <c r="L115" s="271"/>
      <c r="M115" s="271"/>
      <c r="N115" s="510"/>
      <c r="O115" s="326"/>
      <c r="P115" s="549"/>
      <c r="Q115" s="442"/>
      <c r="R115" s="442"/>
      <c r="S115" s="318"/>
      <c r="T115" s="23" t="s">
        <v>40</v>
      </c>
      <c r="U115" s="338"/>
      <c r="V115" s="326"/>
      <c r="W115" s="326"/>
      <c r="X115" s="326"/>
      <c r="Y115" s="326"/>
    </row>
    <row r="116" spans="1:25" ht="14.25" customHeight="1">
      <c r="A116" s="263" t="s">
        <v>253</v>
      </c>
      <c r="B116" s="263"/>
      <c r="C116" s="263"/>
      <c r="D116" s="479"/>
      <c r="E116" s="479"/>
      <c r="F116" s="524"/>
      <c r="G116" s="287"/>
      <c r="H116" s="270"/>
      <c r="I116" s="107">
        <v>3</v>
      </c>
      <c r="J116" s="51" t="s">
        <v>254</v>
      </c>
      <c r="K116" s="271"/>
      <c r="L116" s="271"/>
      <c r="M116" s="271"/>
      <c r="N116" s="510"/>
      <c r="O116" s="326"/>
      <c r="P116" s="549"/>
      <c r="Q116" s="442"/>
      <c r="R116" s="442"/>
      <c r="S116" s="318"/>
      <c r="T116" s="23" t="s">
        <v>40</v>
      </c>
      <c r="U116" s="338"/>
      <c r="V116" s="326"/>
      <c r="W116" s="326"/>
      <c r="X116" s="326"/>
      <c r="Y116" s="326"/>
    </row>
    <row r="117" spans="1:25" ht="14.25" customHeight="1">
      <c r="A117" s="263"/>
      <c r="B117" s="263"/>
      <c r="C117" s="263"/>
      <c r="D117" s="479"/>
      <c r="E117" s="479"/>
      <c r="F117" s="524"/>
      <c r="G117" s="287"/>
      <c r="H117" s="270"/>
      <c r="I117" s="107">
        <v>4</v>
      </c>
      <c r="J117" s="51" t="s">
        <v>255</v>
      </c>
      <c r="K117" s="271"/>
      <c r="L117" s="271"/>
      <c r="M117" s="271"/>
      <c r="N117" s="510"/>
      <c r="O117" s="326"/>
      <c r="P117" s="549"/>
      <c r="Q117" s="442"/>
      <c r="R117" s="442"/>
      <c r="S117" s="318"/>
      <c r="T117" s="36"/>
      <c r="U117" s="338"/>
      <c r="V117" s="326"/>
      <c r="W117" s="326"/>
      <c r="X117" s="326"/>
      <c r="Y117" s="326"/>
    </row>
    <row r="118" spans="1:25" ht="14.25" customHeight="1">
      <c r="A118" s="263"/>
      <c r="B118" s="263"/>
      <c r="C118" s="263"/>
      <c r="D118" s="479"/>
      <c r="E118" s="479"/>
      <c r="F118" s="524"/>
      <c r="G118" s="287"/>
      <c r="H118" s="270"/>
      <c r="I118" s="104">
        <v>77</v>
      </c>
      <c r="J118" s="16" t="s">
        <v>155</v>
      </c>
      <c r="K118" s="271"/>
      <c r="L118" s="271"/>
      <c r="M118" s="271"/>
      <c r="N118" s="512"/>
      <c r="O118" s="547"/>
      <c r="P118" s="550"/>
      <c r="Q118" s="442"/>
      <c r="R118" s="442"/>
      <c r="S118" s="318"/>
      <c r="T118" s="36" t="s">
        <v>40</v>
      </c>
      <c r="U118" s="338"/>
      <c r="V118" s="217"/>
      <c r="W118" s="217"/>
      <c r="X118" s="217"/>
      <c r="Y118" s="217"/>
    </row>
    <row r="119" spans="1:25" ht="14.25" customHeight="1">
      <c r="A119" s="263" t="s">
        <v>256</v>
      </c>
      <c r="B119" s="263" t="s">
        <v>257</v>
      </c>
      <c r="C119" s="263" t="s">
        <v>258</v>
      </c>
      <c r="D119" s="479">
        <v>11</v>
      </c>
      <c r="E119" s="479" t="s">
        <v>259</v>
      </c>
      <c r="F119" s="263" t="s">
        <v>116</v>
      </c>
      <c r="G119" s="263" t="s">
        <v>260</v>
      </c>
      <c r="H119" s="270" t="s">
        <v>250</v>
      </c>
      <c r="I119" s="100">
        <v>1</v>
      </c>
      <c r="J119" s="15" t="s">
        <v>261</v>
      </c>
      <c r="K119" s="271" t="s">
        <v>46</v>
      </c>
      <c r="L119" s="271">
        <v>1</v>
      </c>
      <c r="M119" s="271" t="s">
        <v>40</v>
      </c>
      <c r="N119" s="515" t="s">
        <v>50</v>
      </c>
      <c r="O119" s="264" t="s">
        <v>51</v>
      </c>
      <c r="P119" s="264" t="s">
        <v>45</v>
      </c>
      <c r="Q119" s="215"/>
      <c r="R119" s="215"/>
      <c r="S119" s="263" t="s">
        <v>40</v>
      </c>
      <c r="T119" s="254" t="s">
        <v>40</v>
      </c>
      <c r="U119" s="430" t="s">
        <v>40</v>
      </c>
      <c r="V119" s="314" t="s">
        <v>40</v>
      </c>
      <c r="W119" s="314" t="s">
        <v>40</v>
      </c>
      <c r="X119" s="314" t="s">
        <v>40</v>
      </c>
      <c r="Y119" s="314" t="s">
        <v>40</v>
      </c>
    </row>
    <row r="120" spans="1:25" ht="14.25" customHeight="1">
      <c r="A120" s="263"/>
      <c r="B120" s="263"/>
      <c r="C120" s="263"/>
      <c r="D120" s="479"/>
      <c r="E120" s="479"/>
      <c r="F120" s="263"/>
      <c r="G120" s="263"/>
      <c r="H120" s="270"/>
      <c r="I120" s="100">
        <v>2</v>
      </c>
      <c r="J120" s="15" t="s">
        <v>262</v>
      </c>
      <c r="K120" s="271"/>
      <c r="L120" s="271"/>
      <c r="M120" s="271"/>
      <c r="N120" s="516"/>
      <c r="O120" s="265"/>
      <c r="P120" s="265"/>
      <c r="Q120" s="215"/>
      <c r="R120" s="215"/>
      <c r="S120" s="263"/>
      <c r="T120" s="254"/>
      <c r="U120" s="254"/>
      <c r="V120" s="315"/>
      <c r="W120" s="315"/>
      <c r="X120" s="315"/>
      <c r="Y120" s="315"/>
    </row>
    <row r="121" spans="1:25" ht="14.25" customHeight="1">
      <c r="A121" s="263"/>
      <c r="B121" s="263"/>
      <c r="C121" s="263"/>
      <c r="D121" s="479"/>
      <c r="E121" s="479"/>
      <c r="F121" s="263"/>
      <c r="G121" s="263"/>
      <c r="H121" s="270"/>
      <c r="I121" s="100">
        <v>3</v>
      </c>
      <c r="J121" s="205" t="s">
        <v>263</v>
      </c>
      <c r="K121" s="271"/>
      <c r="L121" s="271"/>
      <c r="M121" s="271"/>
      <c r="N121" s="516"/>
      <c r="O121" s="265"/>
      <c r="P121" s="265"/>
      <c r="Q121" s="215"/>
      <c r="R121" s="215"/>
      <c r="S121" s="263"/>
      <c r="T121" s="254"/>
      <c r="U121" s="254"/>
      <c r="V121" s="315"/>
      <c r="W121" s="315"/>
      <c r="X121" s="315"/>
      <c r="Y121" s="315"/>
    </row>
    <row r="122" spans="1:25" ht="14.25" customHeight="1">
      <c r="A122" s="263"/>
      <c r="B122" s="263"/>
      <c r="C122" s="263"/>
      <c r="D122" s="479"/>
      <c r="E122" s="479"/>
      <c r="F122" s="263"/>
      <c r="G122" s="263"/>
      <c r="H122" s="270"/>
      <c r="I122" s="100">
        <v>4</v>
      </c>
      <c r="J122" s="15" t="s">
        <v>264</v>
      </c>
      <c r="K122" s="271"/>
      <c r="L122" s="271"/>
      <c r="M122" s="271"/>
      <c r="N122" s="516"/>
      <c r="O122" s="265"/>
      <c r="P122" s="265"/>
      <c r="Q122" s="215"/>
      <c r="R122" s="215"/>
      <c r="S122" s="263"/>
      <c r="T122" s="254"/>
      <c r="U122" s="254"/>
      <c r="V122" s="315"/>
      <c r="W122" s="315"/>
      <c r="X122" s="315"/>
      <c r="Y122" s="315"/>
    </row>
    <row r="123" spans="1:25" ht="14.25" customHeight="1">
      <c r="A123" s="263"/>
      <c r="B123" s="263"/>
      <c r="C123" s="263"/>
      <c r="D123" s="479"/>
      <c r="E123" s="479"/>
      <c r="F123" s="263"/>
      <c r="G123" s="263"/>
      <c r="H123" s="270"/>
      <c r="I123" s="100">
        <v>77</v>
      </c>
      <c r="J123" s="15" t="s">
        <v>155</v>
      </c>
      <c r="K123" s="271"/>
      <c r="L123" s="271"/>
      <c r="M123" s="271"/>
      <c r="N123" s="517"/>
      <c r="O123" s="266"/>
      <c r="P123" s="266"/>
      <c r="Q123" s="215"/>
      <c r="R123" s="215"/>
      <c r="S123" s="263"/>
      <c r="T123" s="254"/>
      <c r="U123" s="254"/>
      <c r="V123" s="316"/>
      <c r="W123" s="316"/>
      <c r="X123" s="316"/>
      <c r="Y123" s="316"/>
    </row>
    <row r="124" spans="1:25" ht="14.25" customHeight="1">
      <c r="A124" s="223" t="s">
        <v>265</v>
      </c>
      <c r="B124" s="223" t="s">
        <v>266</v>
      </c>
      <c r="C124" s="223">
        <v>2</v>
      </c>
      <c r="D124" s="479">
        <v>12</v>
      </c>
      <c r="E124" s="479" t="s">
        <v>267</v>
      </c>
      <c r="F124" s="263" t="s">
        <v>116</v>
      </c>
      <c r="G124" s="263" t="s">
        <v>268</v>
      </c>
      <c r="H124" s="267" t="s">
        <v>269</v>
      </c>
      <c r="I124" s="106">
        <v>1</v>
      </c>
      <c r="J124" s="49" t="s">
        <v>270</v>
      </c>
      <c r="K124" s="271" t="s">
        <v>46</v>
      </c>
      <c r="L124" s="271">
        <v>1</v>
      </c>
      <c r="M124" s="271" t="s">
        <v>40</v>
      </c>
      <c r="N124" s="509" t="s">
        <v>50</v>
      </c>
      <c r="O124" s="216" t="s">
        <v>51</v>
      </c>
      <c r="P124" s="515" t="s">
        <v>45</v>
      </c>
      <c r="Q124" s="459" t="s">
        <v>40</v>
      </c>
      <c r="R124" s="459" t="s">
        <v>40</v>
      </c>
      <c r="S124" s="317" t="s">
        <v>40</v>
      </c>
      <c r="T124" s="317" t="s">
        <v>40</v>
      </c>
      <c r="U124" s="317" t="s">
        <v>40</v>
      </c>
      <c r="V124" s="317" t="s">
        <v>40</v>
      </c>
      <c r="W124" s="317" t="s">
        <v>40</v>
      </c>
      <c r="X124" s="317" t="s">
        <v>40</v>
      </c>
      <c r="Y124" s="317" t="s">
        <v>40</v>
      </c>
    </row>
    <row r="125" spans="1:25" ht="14.25" customHeight="1">
      <c r="A125" s="223"/>
      <c r="B125" s="223"/>
      <c r="C125" s="223"/>
      <c r="D125" s="479"/>
      <c r="E125" s="479"/>
      <c r="F125" s="263"/>
      <c r="G125" s="263"/>
      <c r="H125" s="267"/>
      <c r="I125" s="106">
        <v>2</v>
      </c>
      <c r="J125" s="49" t="s">
        <v>271</v>
      </c>
      <c r="K125" s="271"/>
      <c r="L125" s="271"/>
      <c r="M125" s="271"/>
      <c r="N125" s="510"/>
      <c r="O125" s="326"/>
      <c r="P125" s="516"/>
      <c r="Q125" s="460"/>
      <c r="R125" s="460"/>
      <c r="S125" s="318"/>
      <c r="T125" s="318"/>
      <c r="U125" s="318"/>
      <c r="V125" s="318"/>
      <c r="W125" s="318"/>
      <c r="X125" s="318"/>
      <c r="Y125" s="318"/>
    </row>
    <row r="126" spans="1:25" ht="14.25" customHeight="1">
      <c r="A126" s="223"/>
      <c r="B126" s="223"/>
      <c r="C126" s="223"/>
      <c r="D126" s="479"/>
      <c r="E126" s="479"/>
      <c r="F126" s="263"/>
      <c r="G126" s="263"/>
      <c r="H126" s="267"/>
      <c r="I126" s="106">
        <v>3</v>
      </c>
      <c r="J126" s="49" t="s">
        <v>272</v>
      </c>
      <c r="K126" s="271"/>
      <c r="L126" s="271"/>
      <c r="M126" s="271"/>
      <c r="N126" s="510"/>
      <c r="O126" s="326"/>
      <c r="P126" s="516"/>
      <c r="Q126" s="460"/>
      <c r="R126" s="460"/>
      <c r="S126" s="318"/>
      <c r="T126" s="318"/>
      <c r="U126" s="318"/>
      <c r="V126" s="318"/>
      <c r="W126" s="318"/>
      <c r="X126" s="318"/>
      <c r="Y126" s="318"/>
    </row>
    <row r="127" spans="1:25" ht="14.25" customHeight="1">
      <c r="A127" s="223"/>
      <c r="B127" s="223"/>
      <c r="C127" s="223"/>
      <c r="D127" s="479"/>
      <c r="E127" s="479"/>
      <c r="F127" s="263"/>
      <c r="G127" s="263"/>
      <c r="H127" s="267"/>
      <c r="I127" s="106">
        <v>4</v>
      </c>
      <c r="J127" s="49" t="s">
        <v>273</v>
      </c>
      <c r="K127" s="271"/>
      <c r="L127" s="271"/>
      <c r="M127" s="271"/>
      <c r="N127" s="510"/>
      <c r="O127" s="326"/>
      <c r="P127" s="516"/>
      <c r="Q127" s="460"/>
      <c r="R127" s="460"/>
      <c r="S127" s="318"/>
      <c r="T127" s="318"/>
      <c r="U127" s="318"/>
      <c r="V127" s="318"/>
      <c r="W127" s="318"/>
      <c r="X127" s="318"/>
      <c r="Y127" s="318"/>
    </row>
    <row r="128" spans="1:25" ht="18" customHeight="1">
      <c r="A128" s="223"/>
      <c r="B128" s="223"/>
      <c r="C128" s="223"/>
      <c r="D128" s="479"/>
      <c r="E128" s="479"/>
      <c r="F128" s="263"/>
      <c r="G128" s="263"/>
      <c r="H128" s="267"/>
      <c r="I128" s="106">
        <v>77</v>
      </c>
      <c r="J128" s="49" t="s">
        <v>155</v>
      </c>
      <c r="K128" s="271"/>
      <c r="L128" s="271"/>
      <c r="M128" s="271"/>
      <c r="N128" s="511"/>
      <c r="O128" s="217"/>
      <c r="P128" s="517"/>
      <c r="Q128" s="461"/>
      <c r="R128" s="461"/>
      <c r="S128" s="319"/>
      <c r="T128" s="319"/>
      <c r="U128" s="319"/>
      <c r="V128" s="319"/>
      <c r="W128" s="319"/>
      <c r="X128" s="319"/>
      <c r="Y128" s="319"/>
    </row>
    <row r="129" spans="1:25" ht="14.25" customHeight="1">
      <c r="A129" s="263" t="s">
        <v>274</v>
      </c>
      <c r="B129" s="263" t="s">
        <v>275</v>
      </c>
      <c r="C129" s="263" t="s">
        <v>258</v>
      </c>
      <c r="D129" s="479">
        <v>12</v>
      </c>
      <c r="E129" s="479" t="s">
        <v>276</v>
      </c>
      <c r="F129" s="263" t="s">
        <v>277</v>
      </c>
      <c r="G129" s="263" t="s">
        <v>278</v>
      </c>
      <c r="H129" s="267" t="s">
        <v>279</v>
      </c>
      <c r="I129" s="106">
        <v>1</v>
      </c>
      <c r="J129" s="15" t="s">
        <v>280</v>
      </c>
      <c r="K129" s="271" t="s">
        <v>46</v>
      </c>
      <c r="L129" s="271">
        <v>1</v>
      </c>
      <c r="M129" s="271" t="s">
        <v>40</v>
      </c>
      <c r="N129" s="509" t="s">
        <v>50</v>
      </c>
      <c r="O129" s="216" t="s">
        <v>51</v>
      </c>
      <c r="P129" s="552" t="s">
        <v>45</v>
      </c>
      <c r="Q129" s="520" t="s">
        <v>40</v>
      </c>
      <c r="R129" s="520" t="s">
        <v>40</v>
      </c>
      <c r="S129" s="523" t="s">
        <v>40</v>
      </c>
      <c r="T129" s="320" t="s">
        <v>40</v>
      </c>
      <c r="U129" s="320" t="s">
        <v>40</v>
      </c>
      <c r="V129" s="320" t="s">
        <v>40</v>
      </c>
      <c r="W129" s="320" t="s">
        <v>40</v>
      </c>
      <c r="X129" s="320" t="s">
        <v>40</v>
      </c>
      <c r="Y129" s="320" t="s">
        <v>40</v>
      </c>
    </row>
    <row r="130" spans="1:25" ht="31">
      <c r="A130" s="263"/>
      <c r="B130" s="263"/>
      <c r="C130" s="263"/>
      <c r="D130" s="479"/>
      <c r="E130" s="479"/>
      <c r="F130" s="263"/>
      <c r="G130" s="263"/>
      <c r="H130" s="267"/>
      <c r="I130" s="106">
        <v>2</v>
      </c>
      <c r="J130" s="15" t="s">
        <v>281</v>
      </c>
      <c r="K130" s="271"/>
      <c r="L130" s="271"/>
      <c r="M130" s="271"/>
      <c r="N130" s="510"/>
      <c r="O130" s="326"/>
      <c r="P130" s="510"/>
      <c r="Q130" s="521"/>
      <c r="R130" s="521"/>
      <c r="S130" s="321"/>
      <c r="T130" s="321"/>
      <c r="U130" s="321"/>
      <c r="V130" s="321"/>
      <c r="W130" s="321"/>
      <c r="X130" s="321"/>
      <c r="Y130" s="321"/>
    </row>
    <row r="131" spans="1:25" ht="30" customHeight="1">
      <c r="A131" s="263"/>
      <c r="B131" s="263"/>
      <c r="C131" s="263"/>
      <c r="D131" s="479"/>
      <c r="E131" s="479"/>
      <c r="F131" s="263"/>
      <c r="G131" s="263"/>
      <c r="H131" s="267"/>
      <c r="I131" s="106">
        <v>3</v>
      </c>
      <c r="J131" s="15" t="s">
        <v>282</v>
      </c>
      <c r="K131" s="271"/>
      <c r="L131" s="271"/>
      <c r="M131" s="271"/>
      <c r="N131" s="510"/>
      <c r="O131" s="326"/>
      <c r="P131" s="510"/>
      <c r="Q131" s="521"/>
      <c r="R131" s="521"/>
      <c r="S131" s="321"/>
      <c r="T131" s="321"/>
      <c r="U131" s="321"/>
      <c r="V131" s="321"/>
      <c r="W131" s="321"/>
      <c r="X131" s="321"/>
      <c r="Y131" s="321"/>
    </row>
    <row r="132" spans="1:25" ht="30" customHeight="1">
      <c r="A132" s="263" t="s">
        <v>283</v>
      </c>
      <c r="B132" s="263" t="s">
        <v>284</v>
      </c>
      <c r="C132" s="263" t="s">
        <v>158</v>
      </c>
      <c r="D132" s="479"/>
      <c r="E132" s="479"/>
      <c r="F132" s="263"/>
      <c r="G132" s="263"/>
      <c r="H132" s="267"/>
      <c r="I132" s="106">
        <v>4</v>
      </c>
      <c r="J132" s="49" t="s">
        <v>285</v>
      </c>
      <c r="K132" s="271"/>
      <c r="L132" s="271"/>
      <c r="M132" s="271"/>
      <c r="N132" s="510"/>
      <c r="O132" s="326"/>
      <c r="P132" s="510"/>
      <c r="Q132" s="521"/>
      <c r="R132" s="521"/>
      <c r="S132" s="321"/>
      <c r="T132" s="321"/>
      <c r="U132" s="321"/>
      <c r="V132" s="321"/>
      <c r="W132" s="321"/>
      <c r="X132" s="321"/>
      <c r="Y132" s="321"/>
    </row>
    <row r="133" spans="1:25" ht="19.5" customHeight="1">
      <c r="A133" s="263"/>
      <c r="B133" s="263"/>
      <c r="C133" s="263"/>
      <c r="D133" s="479"/>
      <c r="E133" s="479"/>
      <c r="F133" s="263"/>
      <c r="G133" s="263"/>
      <c r="H133" s="267"/>
      <c r="I133" s="106">
        <v>5</v>
      </c>
      <c r="J133" s="49" t="s">
        <v>286</v>
      </c>
      <c r="K133" s="271"/>
      <c r="L133" s="271"/>
      <c r="M133" s="271"/>
      <c r="N133" s="510"/>
      <c r="O133" s="326"/>
      <c r="P133" s="510"/>
      <c r="Q133" s="521"/>
      <c r="R133" s="521"/>
      <c r="S133" s="321"/>
      <c r="T133" s="321"/>
      <c r="U133" s="321"/>
      <c r="V133" s="321"/>
      <c r="W133" s="321"/>
      <c r="X133" s="321"/>
      <c r="Y133" s="321"/>
    </row>
    <row r="134" spans="1:25" ht="14.25" customHeight="1">
      <c r="A134" s="263"/>
      <c r="B134" s="263"/>
      <c r="C134" s="263"/>
      <c r="D134" s="479"/>
      <c r="E134" s="479"/>
      <c r="F134" s="263"/>
      <c r="G134" s="263"/>
      <c r="H134" s="267"/>
      <c r="I134" s="106">
        <v>6</v>
      </c>
      <c r="J134" s="49" t="s">
        <v>287</v>
      </c>
      <c r="K134" s="271"/>
      <c r="L134" s="271"/>
      <c r="M134" s="271"/>
      <c r="N134" s="510"/>
      <c r="O134" s="326"/>
      <c r="P134" s="510"/>
      <c r="Q134" s="521"/>
      <c r="R134" s="521"/>
      <c r="S134" s="321"/>
      <c r="T134" s="321"/>
      <c r="U134" s="321"/>
      <c r="V134" s="321"/>
      <c r="W134" s="321"/>
      <c r="X134" s="321"/>
      <c r="Y134" s="321"/>
    </row>
    <row r="135" spans="1:25" ht="23.25" customHeight="1">
      <c r="A135" s="263"/>
      <c r="B135" s="263"/>
      <c r="C135" s="263"/>
      <c r="D135" s="479"/>
      <c r="E135" s="479"/>
      <c r="F135" s="263"/>
      <c r="G135" s="263"/>
      <c r="H135" s="267"/>
      <c r="I135" s="106">
        <v>77</v>
      </c>
      <c r="J135" s="49" t="s">
        <v>288</v>
      </c>
      <c r="K135" s="271"/>
      <c r="L135" s="271"/>
      <c r="M135" s="271"/>
      <c r="N135" s="511"/>
      <c r="O135" s="217"/>
      <c r="P135" s="512"/>
      <c r="Q135" s="522"/>
      <c r="R135" s="522"/>
      <c r="S135" s="327"/>
      <c r="T135" s="322"/>
      <c r="U135" s="322"/>
      <c r="V135" s="322"/>
      <c r="W135" s="322"/>
      <c r="X135" s="322"/>
      <c r="Y135" s="322"/>
    </row>
    <row r="136" spans="1:25" s="25" customFormat="1" ht="14.25" customHeight="1">
      <c r="A136" s="263" t="s">
        <v>274</v>
      </c>
      <c r="B136" s="263" t="s">
        <v>275</v>
      </c>
      <c r="C136" s="263" t="s">
        <v>258</v>
      </c>
      <c r="D136" s="479">
        <v>12</v>
      </c>
      <c r="E136" s="479" t="s">
        <v>289</v>
      </c>
      <c r="F136" s="263" t="s">
        <v>290</v>
      </c>
      <c r="G136" s="518" t="s">
        <v>291</v>
      </c>
      <c r="H136" s="519" t="s">
        <v>292</v>
      </c>
      <c r="I136" s="106">
        <v>1</v>
      </c>
      <c r="J136" s="49" t="s">
        <v>119</v>
      </c>
      <c r="K136" s="271" t="s">
        <v>46</v>
      </c>
      <c r="L136" s="271">
        <v>1</v>
      </c>
      <c r="M136" s="271" t="s">
        <v>40</v>
      </c>
      <c r="N136" s="509" t="s">
        <v>50</v>
      </c>
      <c r="O136" s="216" t="s">
        <v>51</v>
      </c>
      <c r="P136" s="509" t="s">
        <v>45</v>
      </c>
      <c r="Q136" s="492"/>
      <c r="R136" s="492"/>
      <c r="S136" s="320" t="s">
        <v>40</v>
      </c>
      <c r="T136" s="320" t="s">
        <v>40</v>
      </c>
      <c r="U136" s="320"/>
      <c r="V136" s="320" t="s">
        <v>40</v>
      </c>
      <c r="W136" s="320" t="s">
        <v>40</v>
      </c>
      <c r="X136" s="320" t="s">
        <v>40</v>
      </c>
      <c r="Y136" s="320" t="s">
        <v>40</v>
      </c>
    </row>
    <row r="137" spans="1:25" s="25" customFormat="1" ht="14.25" customHeight="1">
      <c r="A137" s="263"/>
      <c r="B137" s="263"/>
      <c r="C137" s="263"/>
      <c r="D137" s="479"/>
      <c r="E137" s="479"/>
      <c r="F137" s="263"/>
      <c r="G137" s="518"/>
      <c r="H137" s="519"/>
      <c r="I137" s="106">
        <v>2</v>
      </c>
      <c r="J137" s="49" t="s">
        <v>120</v>
      </c>
      <c r="K137" s="271"/>
      <c r="L137" s="271"/>
      <c r="M137" s="271"/>
      <c r="N137" s="510"/>
      <c r="O137" s="326"/>
      <c r="P137" s="510"/>
      <c r="Q137" s="493"/>
      <c r="R137" s="493"/>
      <c r="S137" s="321"/>
      <c r="T137" s="321"/>
      <c r="U137" s="321"/>
      <c r="V137" s="321"/>
      <c r="W137" s="321"/>
      <c r="X137" s="321"/>
      <c r="Y137" s="321"/>
    </row>
    <row r="138" spans="1:25" s="25" customFormat="1" ht="14.25" customHeight="1">
      <c r="A138" s="263"/>
      <c r="B138" s="263"/>
      <c r="C138" s="263"/>
      <c r="D138" s="479"/>
      <c r="E138" s="479"/>
      <c r="F138" s="263"/>
      <c r="G138" s="518"/>
      <c r="H138" s="267"/>
      <c r="I138" s="104">
        <v>77</v>
      </c>
      <c r="J138" s="16" t="s">
        <v>155</v>
      </c>
      <c r="K138" s="271"/>
      <c r="L138" s="271"/>
      <c r="M138" s="271"/>
      <c r="N138" s="511"/>
      <c r="O138" s="217"/>
      <c r="P138" s="512"/>
      <c r="Q138" s="494"/>
      <c r="R138" s="494"/>
      <c r="S138" s="327"/>
      <c r="T138" s="322"/>
      <c r="U138" s="322"/>
      <c r="V138" s="322"/>
      <c r="W138" s="322"/>
      <c r="X138" s="322"/>
      <c r="Y138" s="322"/>
    </row>
    <row r="139" spans="1:25" s="25" customFormat="1" ht="18" customHeight="1">
      <c r="A139" s="263" t="s">
        <v>274</v>
      </c>
      <c r="B139" s="263" t="s">
        <v>275</v>
      </c>
      <c r="C139" s="263" t="s">
        <v>258</v>
      </c>
      <c r="D139" s="479">
        <v>13</v>
      </c>
      <c r="E139" s="479" t="s">
        <v>293</v>
      </c>
      <c r="F139" s="263" t="s">
        <v>290</v>
      </c>
      <c r="G139" s="287" t="s">
        <v>294</v>
      </c>
      <c r="H139" s="270" t="s">
        <v>295</v>
      </c>
      <c r="I139" s="106">
        <v>1</v>
      </c>
      <c r="J139" s="51" t="s">
        <v>296</v>
      </c>
      <c r="K139" s="271" t="str">
        <f>E136</f>
        <v>V21</v>
      </c>
      <c r="L139" s="271">
        <v>1</v>
      </c>
      <c r="M139" s="271" t="s">
        <v>297</v>
      </c>
      <c r="N139" s="510" t="s">
        <v>161</v>
      </c>
      <c r="O139" s="326" t="s">
        <v>51</v>
      </c>
      <c r="P139" s="510" t="s">
        <v>45</v>
      </c>
      <c r="Q139" s="513"/>
      <c r="R139" s="513"/>
      <c r="S139" s="321" t="s">
        <v>40</v>
      </c>
      <c r="T139" s="321" t="s">
        <v>40</v>
      </c>
      <c r="U139" s="321" t="s">
        <v>40</v>
      </c>
      <c r="V139" s="321" t="s">
        <v>40</v>
      </c>
      <c r="W139" s="321" t="s">
        <v>40</v>
      </c>
      <c r="X139" s="321" t="s">
        <v>40</v>
      </c>
      <c r="Y139" s="321" t="s">
        <v>40</v>
      </c>
    </row>
    <row r="140" spans="1:25" s="25" customFormat="1" ht="18" customHeight="1">
      <c r="A140" s="263"/>
      <c r="B140" s="263"/>
      <c r="C140" s="263"/>
      <c r="D140" s="479"/>
      <c r="E140" s="479"/>
      <c r="F140" s="263"/>
      <c r="G140" s="287"/>
      <c r="H140" s="270"/>
      <c r="I140" s="106">
        <v>2</v>
      </c>
      <c r="J140" s="51" t="s">
        <v>298</v>
      </c>
      <c r="K140" s="271"/>
      <c r="L140" s="271"/>
      <c r="M140" s="271"/>
      <c r="N140" s="510"/>
      <c r="O140" s="326"/>
      <c r="P140" s="510"/>
      <c r="Q140" s="513"/>
      <c r="R140" s="513"/>
      <c r="S140" s="321"/>
      <c r="T140" s="321"/>
      <c r="U140" s="321"/>
      <c r="V140" s="321"/>
      <c r="W140" s="321"/>
      <c r="X140" s="321"/>
      <c r="Y140" s="321"/>
    </row>
    <row r="141" spans="1:25" s="25" customFormat="1" ht="18" customHeight="1">
      <c r="A141" s="263"/>
      <c r="B141" s="263"/>
      <c r="C141" s="263"/>
      <c r="D141" s="479"/>
      <c r="E141" s="479"/>
      <c r="F141" s="263"/>
      <c r="G141" s="287"/>
      <c r="H141" s="270"/>
      <c r="I141" s="106">
        <v>3</v>
      </c>
      <c r="J141" s="51" t="s">
        <v>299</v>
      </c>
      <c r="K141" s="271"/>
      <c r="L141" s="271"/>
      <c r="M141" s="271"/>
      <c r="N141" s="510"/>
      <c r="O141" s="326"/>
      <c r="P141" s="510"/>
      <c r="Q141" s="513"/>
      <c r="R141" s="513"/>
      <c r="S141" s="321"/>
      <c r="T141" s="321"/>
      <c r="U141" s="321"/>
      <c r="V141" s="321"/>
      <c r="W141" s="321"/>
      <c r="X141" s="321"/>
      <c r="Y141" s="321"/>
    </row>
    <row r="142" spans="1:25" s="25" customFormat="1" ht="18" customHeight="1">
      <c r="A142" s="263"/>
      <c r="B142" s="263"/>
      <c r="C142" s="263"/>
      <c r="D142" s="479"/>
      <c r="E142" s="479"/>
      <c r="F142" s="263"/>
      <c r="G142" s="287"/>
      <c r="H142" s="270"/>
      <c r="I142" s="106">
        <v>4</v>
      </c>
      <c r="J142" s="51" t="s">
        <v>300</v>
      </c>
      <c r="K142" s="271"/>
      <c r="L142" s="271"/>
      <c r="M142" s="271"/>
      <c r="N142" s="510"/>
      <c r="O142" s="326"/>
      <c r="P142" s="510"/>
      <c r="Q142" s="513"/>
      <c r="R142" s="513"/>
      <c r="S142" s="321"/>
      <c r="T142" s="321"/>
      <c r="U142" s="321"/>
      <c r="V142" s="321"/>
      <c r="W142" s="321"/>
      <c r="X142" s="321"/>
      <c r="Y142" s="321"/>
    </row>
    <row r="143" spans="1:25" s="25" customFormat="1" ht="18" customHeight="1">
      <c r="A143" s="263"/>
      <c r="B143" s="263"/>
      <c r="C143" s="263"/>
      <c r="D143" s="479"/>
      <c r="E143" s="479"/>
      <c r="F143" s="263"/>
      <c r="G143" s="287"/>
      <c r="H143" s="270"/>
      <c r="I143" s="106">
        <v>5</v>
      </c>
      <c r="J143" s="51" t="s">
        <v>301</v>
      </c>
      <c r="K143" s="271"/>
      <c r="L143" s="271"/>
      <c r="M143" s="271"/>
      <c r="N143" s="510"/>
      <c r="O143" s="326"/>
      <c r="P143" s="510"/>
      <c r="Q143" s="513"/>
      <c r="R143" s="513"/>
      <c r="S143" s="321"/>
      <c r="T143" s="321"/>
      <c r="U143" s="321"/>
      <c r="V143" s="321"/>
      <c r="W143" s="321"/>
      <c r="X143" s="321"/>
      <c r="Y143" s="321"/>
    </row>
    <row r="144" spans="1:25" s="25" customFormat="1" ht="18" customHeight="1">
      <c r="A144" s="263"/>
      <c r="B144" s="263"/>
      <c r="C144" s="263"/>
      <c r="D144" s="479"/>
      <c r="E144" s="479"/>
      <c r="F144" s="263"/>
      <c r="G144" s="287"/>
      <c r="H144" s="270"/>
      <c r="I144" s="106">
        <v>6</v>
      </c>
      <c r="J144" s="44" t="s">
        <v>302</v>
      </c>
      <c r="K144" s="271"/>
      <c r="L144" s="271"/>
      <c r="M144" s="271"/>
      <c r="N144" s="511"/>
      <c r="O144" s="217"/>
      <c r="P144" s="512"/>
      <c r="Q144" s="514"/>
      <c r="R144" s="514"/>
      <c r="S144" s="327"/>
      <c r="T144" s="322"/>
      <c r="U144" s="322"/>
      <c r="V144" s="322"/>
      <c r="W144" s="322"/>
      <c r="X144" s="322"/>
      <c r="Y144" s="322"/>
    </row>
    <row r="145" spans="1:25" ht="20.25" customHeight="1">
      <c r="A145" s="223" t="s">
        <v>303</v>
      </c>
      <c r="B145" s="223" t="s">
        <v>304</v>
      </c>
      <c r="C145" s="223"/>
      <c r="D145" s="224">
        <v>14</v>
      </c>
      <c r="E145" s="224" t="s">
        <v>305</v>
      </c>
      <c r="F145" s="269"/>
      <c r="G145" s="263" t="s">
        <v>306</v>
      </c>
      <c r="H145" s="270" t="s">
        <v>307</v>
      </c>
      <c r="I145" s="106">
        <v>1</v>
      </c>
      <c r="J145" s="15" t="s">
        <v>308</v>
      </c>
      <c r="K145" s="247" t="s">
        <v>46</v>
      </c>
      <c r="L145" s="247">
        <v>1</v>
      </c>
      <c r="M145" s="247"/>
      <c r="N145" s="329" t="s">
        <v>161</v>
      </c>
      <c r="O145" s="457" t="s">
        <v>51</v>
      </c>
      <c r="P145" s="457" t="s">
        <v>45</v>
      </c>
      <c r="Q145" s="407"/>
      <c r="R145" s="407"/>
      <c r="S145" s="242"/>
      <c r="T145" s="242"/>
      <c r="U145" s="242"/>
      <c r="V145" s="242"/>
      <c r="W145" s="242"/>
      <c r="X145" s="242"/>
      <c r="Y145" s="242"/>
    </row>
    <row r="146" spans="1:25" ht="18" customHeight="1">
      <c r="A146" s="223"/>
      <c r="B146" s="223"/>
      <c r="C146" s="223"/>
      <c r="D146" s="224"/>
      <c r="E146" s="224"/>
      <c r="F146" s="269"/>
      <c r="G146" s="263"/>
      <c r="H146" s="270"/>
      <c r="I146" s="106">
        <v>2</v>
      </c>
      <c r="J146" s="49" t="s">
        <v>309</v>
      </c>
      <c r="K146" s="247"/>
      <c r="L146" s="247"/>
      <c r="M146" s="247"/>
      <c r="N146" s="329"/>
      <c r="O146" s="457"/>
      <c r="P146" s="457"/>
      <c r="Q146" s="407"/>
      <c r="R146" s="407"/>
      <c r="S146" s="242"/>
      <c r="T146" s="242"/>
      <c r="U146" s="242"/>
      <c r="V146" s="242"/>
      <c r="W146" s="242"/>
      <c r="X146" s="242"/>
      <c r="Y146" s="242"/>
    </row>
    <row r="147" spans="1:25" ht="20.25" customHeight="1">
      <c r="A147" s="223"/>
      <c r="B147" s="223"/>
      <c r="C147" s="223"/>
      <c r="D147" s="224"/>
      <c r="E147" s="224"/>
      <c r="F147" s="269"/>
      <c r="G147" s="263"/>
      <c r="H147" s="270"/>
      <c r="I147" s="106">
        <v>3</v>
      </c>
      <c r="J147" s="49" t="s">
        <v>310</v>
      </c>
      <c r="K147" s="247"/>
      <c r="L147" s="247"/>
      <c r="M147" s="247"/>
      <c r="N147" s="329"/>
      <c r="O147" s="457"/>
      <c r="P147" s="457"/>
      <c r="Q147" s="407"/>
      <c r="R147" s="407"/>
      <c r="S147" s="242"/>
      <c r="T147" s="242"/>
      <c r="U147" s="242"/>
      <c r="V147" s="242"/>
      <c r="W147" s="242"/>
      <c r="X147" s="242"/>
      <c r="Y147" s="242"/>
    </row>
    <row r="148" spans="1:25" ht="18" customHeight="1">
      <c r="A148" s="223"/>
      <c r="B148" s="223"/>
      <c r="C148" s="223"/>
      <c r="D148" s="224"/>
      <c r="E148" s="224"/>
      <c r="F148" s="269"/>
      <c r="G148" s="263"/>
      <c r="H148" s="270"/>
      <c r="I148" s="106">
        <v>4</v>
      </c>
      <c r="J148" s="49" t="s">
        <v>311</v>
      </c>
      <c r="K148" s="247"/>
      <c r="L148" s="247"/>
      <c r="M148" s="247"/>
      <c r="N148" s="329"/>
      <c r="O148" s="457"/>
      <c r="P148" s="457"/>
      <c r="Q148" s="407"/>
      <c r="R148" s="407"/>
      <c r="S148" s="242"/>
      <c r="T148" s="242"/>
      <c r="U148" s="242"/>
      <c r="V148" s="242"/>
      <c r="W148" s="242"/>
      <c r="X148" s="242"/>
      <c r="Y148" s="242"/>
    </row>
    <row r="149" spans="1:25" ht="20.25" customHeight="1">
      <c r="A149" s="223" t="s">
        <v>312</v>
      </c>
      <c r="B149" s="223" t="s">
        <v>313</v>
      </c>
      <c r="C149" s="553">
        <v>2</v>
      </c>
      <c r="D149" s="224"/>
      <c r="E149" s="224"/>
      <c r="F149" s="269"/>
      <c r="G149" s="263"/>
      <c r="H149" s="270"/>
      <c r="I149" s="106">
        <v>5</v>
      </c>
      <c r="J149" s="49" t="s">
        <v>314</v>
      </c>
      <c r="K149" s="247"/>
      <c r="L149" s="247"/>
      <c r="M149" s="247"/>
      <c r="N149" s="329"/>
      <c r="O149" s="457"/>
      <c r="P149" s="457"/>
      <c r="Q149" s="407"/>
      <c r="R149" s="407"/>
      <c r="S149" s="242"/>
      <c r="T149" s="242"/>
      <c r="U149" s="242"/>
      <c r="V149" s="242"/>
      <c r="W149" s="242"/>
      <c r="X149" s="242"/>
      <c r="Y149" s="242"/>
    </row>
    <row r="150" spans="1:25" ht="20.25" customHeight="1">
      <c r="A150" s="223"/>
      <c r="B150" s="223"/>
      <c r="C150" s="553"/>
      <c r="D150" s="224"/>
      <c r="E150" s="224"/>
      <c r="F150" s="269"/>
      <c r="G150" s="263"/>
      <c r="H150" s="270"/>
      <c r="I150" s="106">
        <v>6</v>
      </c>
      <c r="J150" s="49" t="s">
        <v>242</v>
      </c>
      <c r="K150" s="247"/>
      <c r="L150" s="247"/>
      <c r="M150" s="247"/>
      <c r="N150" s="329"/>
      <c r="O150" s="457"/>
      <c r="P150" s="457"/>
      <c r="Q150" s="407"/>
      <c r="R150" s="407"/>
      <c r="S150" s="242"/>
      <c r="T150" s="242"/>
      <c r="U150" s="242"/>
      <c r="V150" s="242"/>
      <c r="W150" s="242"/>
      <c r="X150" s="242"/>
      <c r="Y150" s="242"/>
    </row>
    <row r="151" spans="1:25" ht="18" customHeight="1">
      <c r="A151" s="223"/>
      <c r="B151" s="223"/>
      <c r="C151" s="553"/>
      <c r="D151" s="224"/>
      <c r="E151" s="224"/>
      <c r="F151" s="269"/>
      <c r="G151" s="263"/>
      <c r="H151" s="270"/>
      <c r="I151" s="106">
        <v>77</v>
      </c>
      <c r="J151" s="49" t="s">
        <v>243</v>
      </c>
      <c r="K151" s="247"/>
      <c r="L151" s="247"/>
      <c r="M151" s="247"/>
      <c r="N151" s="330"/>
      <c r="O151" s="458"/>
      <c r="P151" s="458"/>
      <c r="Q151" s="408"/>
      <c r="R151" s="408"/>
      <c r="S151" s="243"/>
      <c r="T151" s="243"/>
      <c r="U151" s="243"/>
      <c r="V151" s="243"/>
      <c r="W151" s="243"/>
      <c r="X151" s="243"/>
      <c r="Y151" s="243"/>
    </row>
    <row r="152" spans="1:25" ht="46.5">
      <c r="A152" s="49" t="s">
        <v>40</v>
      </c>
      <c r="B152" s="49" t="s">
        <v>40</v>
      </c>
      <c r="C152" s="49" t="s">
        <v>40</v>
      </c>
      <c r="D152" s="150">
        <v>14</v>
      </c>
      <c r="E152" s="150" t="s">
        <v>315</v>
      </c>
      <c r="F152" s="49"/>
      <c r="G152" s="15" t="s">
        <v>316</v>
      </c>
      <c r="H152" s="75" t="s">
        <v>40</v>
      </c>
      <c r="I152" s="106" t="s">
        <v>40</v>
      </c>
      <c r="J152" s="49" t="s">
        <v>40</v>
      </c>
      <c r="K152" s="106" t="s">
        <v>46</v>
      </c>
      <c r="L152" s="106">
        <v>1</v>
      </c>
      <c r="M152" s="106" t="s">
        <v>40</v>
      </c>
      <c r="N152" s="177" t="s">
        <v>44</v>
      </c>
      <c r="O152" s="177" t="s">
        <v>40</v>
      </c>
      <c r="P152" s="177" t="s">
        <v>45</v>
      </c>
      <c r="Q152" s="190" t="s">
        <v>40</v>
      </c>
      <c r="R152" s="191" t="s">
        <v>40</v>
      </c>
      <c r="S152" s="54" t="s">
        <v>40</v>
      </c>
      <c r="T152" s="54" t="s">
        <v>40</v>
      </c>
      <c r="U152" s="54" t="s">
        <v>40</v>
      </c>
      <c r="V152" s="22" t="s">
        <v>40</v>
      </c>
      <c r="W152" s="22" t="s">
        <v>40</v>
      </c>
      <c r="X152" s="22" t="s">
        <v>40</v>
      </c>
      <c r="Y152" s="22" t="s">
        <v>40</v>
      </c>
    </row>
    <row r="153" spans="1:25" ht="15.75" customHeight="1">
      <c r="A153" s="263" t="s">
        <v>317</v>
      </c>
      <c r="B153" s="263" t="s">
        <v>318</v>
      </c>
      <c r="C153" s="263" t="s">
        <v>158</v>
      </c>
      <c r="D153" s="479">
        <v>14</v>
      </c>
      <c r="E153" s="479" t="s">
        <v>319</v>
      </c>
      <c r="F153" s="524" t="s">
        <v>165</v>
      </c>
      <c r="G153" s="263" t="s">
        <v>320</v>
      </c>
      <c r="H153" s="270" t="s">
        <v>321</v>
      </c>
      <c r="I153" s="106">
        <v>1</v>
      </c>
      <c r="J153" s="49" t="s">
        <v>322</v>
      </c>
      <c r="K153" s="271" t="s">
        <v>46</v>
      </c>
      <c r="L153" s="271">
        <v>1</v>
      </c>
      <c r="M153" s="271" t="s">
        <v>40</v>
      </c>
      <c r="N153" s="509" t="s">
        <v>161</v>
      </c>
      <c r="O153" s="216" t="s">
        <v>51</v>
      </c>
      <c r="P153" s="509" t="s">
        <v>169</v>
      </c>
      <c r="Q153" s="492"/>
      <c r="R153" s="492"/>
      <c r="S153" s="320" t="s">
        <v>40</v>
      </c>
      <c r="T153" s="22" t="s">
        <v>40</v>
      </c>
      <c r="U153" s="216" t="s">
        <v>40</v>
      </c>
      <c r="V153" s="216" t="s">
        <v>40</v>
      </c>
      <c r="W153" s="216" t="s">
        <v>40</v>
      </c>
      <c r="X153" s="216" t="s">
        <v>40</v>
      </c>
      <c r="Y153" s="216" t="s">
        <v>40</v>
      </c>
    </row>
    <row r="154" spans="1:25" ht="15.75" customHeight="1">
      <c r="A154" s="263"/>
      <c r="B154" s="263"/>
      <c r="C154" s="263"/>
      <c r="D154" s="479"/>
      <c r="E154" s="479"/>
      <c r="F154" s="263"/>
      <c r="G154" s="263"/>
      <c r="H154" s="270"/>
      <c r="I154" s="106">
        <v>2</v>
      </c>
      <c r="J154" s="49" t="s">
        <v>323</v>
      </c>
      <c r="K154" s="271"/>
      <c r="L154" s="271"/>
      <c r="M154" s="271"/>
      <c r="N154" s="510"/>
      <c r="O154" s="326"/>
      <c r="P154" s="510"/>
      <c r="Q154" s="493"/>
      <c r="R154" s="493"/>
      <c r="S154" s="321"/>
      <c r="T154" s="23" t="s">
        <v>40</v>
      </c>
      <c r="U154" s="326"/>
      <c r="V154" s="326"/>
      <c r="W154" s="326"/>
      <c r="X154" s="326"/>
      <c r="Y154" s="326"/>
    </row>
    <row r="155" spans="1:25" ht="15.75" customHeight="1">
      <c r="A155" s="263"/>
      <c r="B155" s="263"/>
      <c r="C155" s="263"/>
      <c r="D155" s="479"/>
      <c r="E155" s="479"/>
      <c r="F155" s="263"/>
      <c r="G155" s="263"/>
      <c r="H155" s="270"/>
      <c r="I155" s="106">
        <v>3</v>
      </c>
      <c r="J155" s="49" t="s">
        <v>324</v>
      </c>
      <c r="K155" s="271"/>
      <c r="L155" s="271"/>
      <c r="M155" s="271"/>
      <c r="N155" s="510"/>
      <c r="O155" s="326"/>
      <c r="P155" s="510"/>
      <c r="Q155" s="493"/>
      <c r="R155" s="493"/>
      <c r="S155" s="321"/>
      <c r="T155" s="23" t="s">
        <v>40</v>
      </c>
      <c r="U155" s="326"/>
      <c r="V155" s="326"/>
      <c r="W155" s="326"/>
      <c r="X155" s="326"/>
      <c r="Y155" s="326"/>
    </row>
    <row r="156" spans="1:25" ht="15.75" customHeight="1">
      <c r="A156" s="263"/>
      <c r="B156" s="263"/>
      <c r="C156" s="263"/>
      <c r="D156" s="479"/>
      <c r="E156" s="479"/>
      <c r="F156" s="263"/>
      <c r="G156" s="263"/>
      <c r="H156" s="270"/>
      <c r="I156" s="106">
        <v>4</v>
      </c>
      <c r="J156" s="49" t="s">
        <v>325</v>
      </c>
      <c r="K156" s="271"/>
      <c r="L156" s="271"/>
      <c r="M156" s="271"/>
      <c r="N156" s="510"/>
      <c r="O156" s="326"/>
      <c r="P156" s="510"/>
      <c r="Q156" s="493"/>
      <c r="R156" s="493"/>
      <c r="S156" s="321"/>
      <c r="T156" s="23" t="s">
        <v>40</v>
      </c>
      <c r="U156" s="326"/>
      <c r="V156" s="326"/>
      <c r="W156" s="326"/>
      <c r="X156" s="326"/>
      <c r="Y156" s="326"/>
    </row>
    <row r="157" spans="1:25" ht="15" customHeight="1">
      <c r="A157" s="263" t="s">
        <v>326</v>
      </c>
      <c r="B157" s="263"/>
      <c r="C157" s="263"/>
      <c r="D157" s="479"/>
      <c r="E157" s="479"/>
      <c r="F157" s="263"/>
      <c r="G157" s="263"/>
      <c r="H157" s="270"/>
      <c r="I157" s="106">
        <v>5</v>
      </c>
      <c r="J157" s="49" t="s">
        <v>327</v>
      </c>
      <c r="K157" s="271"/>
      <c r="L157" s="271"/>
      <c r="M157" s="271"/>
      <c r="N157" s="510"/>
      <c r="O157" s="326"/>
      <c r="P157" s="510"/>
      <c r="Q157" s="493"/>
      <c r="R157" s="493"/>
      <c r="S157" s="321"/>
      <c r="T157" s="23" t="s">
        <v>40</v>
      </c>
      <c r="U157" s="326"/>
      <c r="V157" s="326"/>
      <c r="W157" s="326"/>
      <c r="X157" s="326"/>
      <c r="Y157" s="326"/>
    </row>
    <row r="158" spans="1:25" ht="15.75" customHeight="1">
      <c r="A158" s="263"/>
      <c r="B158" s="263"/>
      <c r="C158" s="263"/>
      <c r="D158" s="479"/>
      <c r="E158" s="479"/>
      <c r="F158" s="263"/>
      <c r="G158" s="263"/>
      <c r="H158" s="270"/>
      <c r="I158" s="106">
        <v>77</v>
      </c>
      <c r="J158" s="49" t="s">
        <v>328</v>
      </c>
      <c r="K158" s="271"/>
      <c r="L158" s="271"/>
      <c r="M158" s="271"/>
      <c r="N158" s="511"/>
      <c r="O158" s="217"/>
      <c r="P158" s="512"/>
      <c r="Q158" s="494"/>
      <c r="R158" s="494"/>
      <c r="S158" s="327"/>
      <c r="T158" s="23" t="s">
        <v>40</v>
      </c>
      <c r="U158" s="217"/>
      <c r="V158" s="217"/>
      <c r="W158" s="217"/>
      <c r="X158" s="217"/>
      <c r="Y158" s="217"/>
    </row>
    <row r="159" spans="1:25" ht="18" customHeight="1">
      <c r="A159" s="263" t="s">
        <v>329</v>
      </c>
      <c r="B159" s="263" t="s">
        <v>330</v>
      </c>
      <c r="C159" s="401" t="s">
        <v>331</v>
      </c>
      <c r="D159" s="479">
        <v>14</v>
      </c>
      <c r="E159" s="479" t="s">
        <v>332</v>
      </c>
      <c r="F159" s="263" t="s">
        <v>333</v>
      </c>
      <c r="G159" s="254" t="s">
        <v>334</v>
      </c>
      <c r="H159" s="270"/>
      <c r="I159" s="100">
        <v>1</v>
      </c>
      <c r="J159" s="15" t="s">
        <v>335</v>
      </c>
      <c r="K159" s="365" t="s">
        <v>46</v>
      </c>
      <c r="L159" s="365">
        <v>1</v>
      </c>
      <c r="M159" s="365" t="s">
        <v>40</v>
      </c>
      <c r="N159" s="476" t="s">
        <v>50</v>
      </c>
      <c r="O159" s="220" t="s">
        <v>51</v>
      </c>
      <c r="P159" s="476" t="s">
        <v>45</v>
      </c>
      <c r="Q159" s="532"/>
      <c r="R159" s="532"/>
      <c r="S159" s="574" t="s">
        <v>40</v>
      </c>
      <c r="T159" s="320" t="s">
        <v>40</v>
      </c>
      <c r="U159" s="331"/>
      <c r="V159" s="331"/>
      <c r="W159" s="275" t="s">
        <v>40</v>
      </c>
      <c r="X159" s="275" t="s">
        <v>40</v>
      </c>
      <c r="Y159" s="275" t="s">
        <v>40</v>
      </c>
    </row>
    <row r="160" spans="1:25" ht="18" customHeight="1">
      <c r="A160" s="263"/>
      <c r="B160" s="263"/>
      <c r="C160" s="401"/>
      <c r="D160" s="479"/>
      <c r="E160" s="479"/>
      <c r="F160" s="263"/>
      <c r="G160" s="254"/>
      <c r="H160" s="270"/>
      <c r="I160" s="100">
        <v>2</v>
      </c>
      <c r="J160" s="15" t="s">
        <v>336</v>
      </c>
      <c r="K160" s="365"/>
      <c r="L160" s="365"/>
      <c r="M160" s="365"/>
      <c r="N160" s="477"/>
      <c r="O160" s="221"/>
      <c r="P160" s="477"/>
      <c r="Q160" s="513"/>
      <c r="R160" s="513"/>
      <c r="S160" s="575"/>
      <c r="T160" s="321"/>
      <c r="U160" s="332"/>
      <c r="V160" s="276"/>
      <c r="W160" s="276"/>
      <c r="X160" s="276"/>
      <c r="Y160" s="276"/>
    </row>
    <row r="161" spans="1:25" ht="18" customHeight="1">
      <c r="A161" s="263"/>
      <c r="B161" s="263"/>
      <c r="C161" s="401"/>
      <c r="D161" s="479"/>
      <c r="E161" s="479"/>
      <c r="F161" s="263"/>
      <c r="G161" s="254"/>
      <c r="H161" s="270"/>
      <c r="I161" s="100">
        <v>3</v>
      </c>
      <c r="J161" s="15" t="s">
        <v>337</v>
      </c>
      <c r="K161" s="365"/>
      <c r="L161" s="365"/>
      <c r="M161" s="365"/>
      <c r="N161" s="477"/>
      <c r="O161" s="221"/>
      <c r="P161" s="477"/>
      <c r="Q161" s="513"/>
      <c r="R161" s="513"/>
      <c r="S161" s="575"/>
      <c r="T161" s="321"/>
      <c r="U161" s="332"/>
      <c r="V161" s="276"/>
      <c r="W161" s="276"/>
      <c r="X161" s="276"/>
      <c r="Y161" s="276"/>
    </row>
    <row r="162" spans="1:25" ht="18" customHeight="1">
      <c r="A162" s="263"/>
      <c r="B162" s="263"/>
      <c r="C162" s="401"/>
      <c r="D162" s="479"/>
      <c r="E162" s="479"/>
      <c r="F162" s="263"/>
      <c r="G162" s="254"/>
      <c r="H162" s="270"/>
      <c r="I162" s="100">
        <v>4</v>
      </c>
      <c r="J162" s="15" t="s">
        <v>338</v>
      </c>
      <c r="K162" s="365"/>
      <c r="L162" s="365"/>
      <c r="M162" s="365"/>
      <c r="N162" s="477"/>
      <c r="O162" s="221"/>
      <c r="P162" s="477"/>
      <c r="Q162" s="513"/>
      <c r="R162" s="513"/>
      <c r="S162" s="575"/>
      <c r="T162" s="321"/>
      <c r="U162" s="332"/>
      <c r="V162" s="276"/>
      <c r="W162" s="276"/>
      <c r="X162" s="276"/>
      <c r="Y162" s="276"/>
    </row>
    <row r="163" spans="1:25" ht="18" customHeight="1">
      <c r="A163" s="263"/>
      <c r="B163" s="263"/>
      <c r="C163" s="401"/>
      <c r="D163" s="479"/>
      <c r="E163" s="479"/>
      <c r="F163" s="263"/>
      <c r="G163" s="254"/>
      <c r="H163" s="270"/>
      <c r="I163" s="100">
        <v>77</v>
      </c>
      <c r="J163" s="15" t="s">
        <v>155</v>
      </c>
      <c r="K163" s="365"/>
      <c r="L163" s="365"/>
      <c r="M163" s="365"/>
      <c r="N163" s="478"/>
      <c r="O163" s="222"/>
      <c r="P163" s="478"/>
      <c r="Q163" s="533"/>
      <c r="R163" s="533"/>
      <c r="S163" s="576"/>
      <c r="T163" s="322"/>
      <c r="U163" s="333"/>
      <c r="V163" s="277"/>
      <c r="W163" s="277"/>
      <c r="X163" s="277"/>
      <c r="Y163" s="277"/>
    </row>
    <row r="164" spans="1:25" ht="18" customHeight="1">
      <c r="A164" s="263" t="s">
        <v>329</v>
      </c>
      <c r="B164" s="263" t="s">
        <v>330</v>
      </c>
      <c r="C164" s="61"/>
      <c r="D164" s="479">
        <v>15</v>
      </c>
      <c r="E164" s="479" t="s">
        <v>339</v>
      </c>
      <c r="F164" s="264"/>
      <c r="G164" s="428" t="s">
        <v>340</v>
      </c>
      <c r="H164" s="248"/>
      <c r="I164" s="100">
        <v>1</v>
      </c>
      <c r="J164" s="15" t="s">
        <v>341</v>
      </c>
      <c r="K164" s="365" t="s">
        <v>46</v>
      </c>
      <c r="L164" s="248">
        <v>1</v>
      </c>
      <c r="M164" s="248"/>
      <c r="N164" s="248" t="s">
        <v>161</v>
      </c>
      <c r="O164" s="248" t="s">
        <v>51</v>
      </c>
      <c r="P164" s="248" t="s">
        <v>45</v>
      </c>
      <c r="Q164" s="544"/>
      <c r="R164" s="544"/>
      <c r="S164" s="248"/>
      <c r="T164" s="39"/>
      <c r="U164" s="272"/>
      <c r="V164" s="272"/>
      <c r="W164" s="272"/>
      <c r="X164" s="272"/>
      <c r="Y164" s="272"/>
    </row>
    <row r="165" spans="1:25" ht="31">
      <c r="A165" s="263"/>
      <c r="B165" s="263"/>
      <c r="C165" s="61"/>
      <c r="D165" s="479"/>
      <c r="E165" s="479"/>
      <c r="F165" s="265"/>
      <c r="G165" s="429"/>
      <c r="H165" s="249"/>
      <c r="I165" s="100">
        <v>2</v>
      </c>
      <c r="J165" s="15" t="s">
        <v>342</v>
      </c>
      <c r="K165" s="365"/>
      <c r="L165" s="249"/>
      <c r="M165" s="249"/>
      <c r="N165" s="249"/>
      <c r="O165" s="249"/>
      <c r="P165" s="249"/>
      <c r="Q165" s="545"/>
      <c r="R165" s="545"/>
      <c r="S165" s="249"/>
      <c r="T165" s="39"/>
      <c r="U165" s="273"/>
      <c r="V165" s="273"/>
      <c r="W165" s="273"/>
      <c r="X165" s="273"/>
      <c r="Y165" s="273"/>
    </row>
    <row r="166" spans="1:25" ht="31">
      <c r="A166" s="263"/>
      <c r="B166" s="263"/>
      <c r="C166" s="61"/>
      <c r="D166" s="479"/>
      <c r="E166" s="479"/>
      <c r="F166" s="265"/>
      <c r="G166" s="429"/>
      <c r="H166" s="249"/>
      <c r="I166" s="100">
        <v>3</v>
      </c>
      <c r="J166" s="15" t="s">
        <v>343</v>
      </c>
      <c r="K166" s="365"/>
      <c r="L166" s="249"/>
      <c r="M166" s="249"/>
      <c r="N166" s="249"/>
      <c r="O166" s="249"/>
      <c r="P166" s="249"/>
      <c r="Q166" s="545"/>
      <c r="R166" s="545"/>
      <c r="S166" s="249"/>
      <c r="T166" s="39"/>
      <c r="U166" s="273"/>
      <c r="V166" s="273"/>
      <c r="W166" s="273"/>
      <c r="X166" s="273"/>
      <c r="Y166" s="273"/>
    </row>
    <row r="167" spans="1:25" ht="31">
      <c r="A167" s="263"/>
      <c r="B167" s="263"/>
      <c r="C167" s="61"/>
      <c r="D167" s="479"/>
      <c r="E167" s="479"/>
      <c r="F167" s="265"/>
      <c r="G167" s="429"/>
      <c r="H167" s="249"/>
      <c r="I167" s="100">
        <v>4</v>
      </c>
      <c r="J167" s="15" t="s">
        <v>344</v>
      </c>
      <c r="K167" s="365"/>
      <c r="L167" s="249"/>
      <c r="M167" s="249"/>
      <c r="N167" s="249"/>
      <c r="O167" s="249"/>
      <c r="P167" s="249"/>
      <c r="Q167" s="545"/>
      <c r="R167" s="545"/>
      <c r="S167" s="249"/>
      <c r="T167" s="39"/>
      <c r="U167" s="273"/>
      <c r="V167" s="273"/>
      <c r="W167" s="273"/>
      <c r="X167" s="273"/>
      <c r="Y167" s="273"/>
    </row>
    <row r="168" spans="1:25" ht="18" customHeight="1">
      <c r="A168" s="263"/>
      <c r="B168" s="263"/>
      <c r="C168" s="61"/>
      <c r="D168" s="479"/>
      <c r="E168" s="479"/>
      <c r="F168" s="266"/>
      <c r="G168" s="430"/>
      <c r="H168" s="250"/>
      <c r="I168" s="100">
        <v>5</v>
      </c>
      <c r="J168" s="15" t="s">
        <v>345</v>
      </c>
      <c r="K168" s="365"/>
      <c r="L168" s="250"/>
      <c r="M168" s="250"/>
      <c r="N168" s="250"/>
      <c r="O168" s="250"/>
      <c r="P168" s="250"/>
      <c r="Q168" s="546"/>
      <c r="R168" s="546"/>
      <c r="S168" s="250"/>
      <c r="T168" s="39"/>
      <c r="U168" s="274"/>
      <c r="V168" s="274"/>
      <c r="W168" s="274"/>
      <c r="X168" s="274"/>
      <c r="Y168" s="274"/>
    </row>
    <row r="169" spans="1:25" ht="18" customHeight="1">
      <c r="A169" s="49" t="s">
        <v>346</v>
      </c>
      <c r="B169" s="49" t="s">
        <v>347</v>
      </c>
      <c r="C169" s="61" t="s">
        <v>158</v>
      </c>
      <c r="D169" s="479">
        <v>15</v>
      </c>
      <c r="E169" s="479" t="s">
        <v>348</v>
      </c>
      <c r="F169" s="263" t="s">
        <v>165</v>
      </c>
      <c r="G169" s="496" t="s">
        <v>349</v>
      </c>
      <c r="H169" s="497" t="s">
        <v>150</v>
      </c>
      <c r="I169" s="109">
        <v>1</v>
      </c>
      <c r="J169" s="64" t="s">
        <v>151</v>
      </c>
      <c r="K169" s="498" t="s">
        <v>46</v>
      </c>
      <c r="L169" s="498">
        <v>1</v>
      </c>
      <c r="M169" s="498" t="s">
        <v>40</v>
      </c>
      <c r="N169" s="499" t="s">
        <v>50</v>
      </c>
      <c r="O169" s="502" t="s">
        <v>51</v>
      </c>
      <c r="P169" s="499" t="s">
        <v>45</v>
      </c>
      <c r="Q169" s="506" t="s">
        <v>40</v>
      </c>
      <c r="R169" s="506" t="s">
        <v>40</v>
      </c>
      <c r="S169" s="323" t="s">
        <v>40</v>
      </c>
      <c r="T169" s="320" t="s">
        <v>40</v>
      </c>
      <c r="U169" s="565"/>
      <c r="V169" s="323" t="s">
        <v>40</v>
      </c>
      <c r="W169" s="323" t="s">
        <v>40</v>
      </c>
      <c r="X169" s="323" t="s">
        <v>40</v>
      </c>
      <c r="Y169" s="323" t="s">
        <v>40</v>
      </c>
    </row>
    <row r="170" spans="1:25" ht="18" customHeight="1">
      <c r="A170" s="263" t="s">
        <v>350</v>
      </c>
      <c r="B170" s="263" t="s">
        <v>347</v>
      </c>
      <c r="C170" s="495" t="s">
        <v>158</v>
      </c>
      <c r="D170" s="479"/>
      <c r="E170" s="479"/>
      <c r="F170" s="263"/>
      <c r="G170" s="496"/>
      <c r="H170" s="497"/>
      <c r="I170" s="109">
        <v>2</v>
      </c>
      <c r="J170" s="64" t="s">
        <v>152</v>
      </c>
      <c r="K170" s="498"/>
      <c r="L170" s="498"/>
      <c r="M170" s="498"/>
      <c r="N170" s="500"/>
      <c r="O170" s="503"/>
      <c r="P170" s="500"/>
      <c r="Q170" s="507"/>
      <c r="R170" s="507"/>
      <c r="S170" s="324"/>
      <c r="T170" s="321"/>
      <c r="U170" s="566"/>
      <c r="V170" s="324"/>
      <c r="W170" s="324"/>
      <c r="X170" s="324"/>
      <c r="Y170" s="324"/>
    </row>
    <row r="171" spans="1:25" ht="18" customHeight="1">
      <c r="A171" s="263"/>
      <c r="B171" s="263"/>
      <c r="C171" s="495"/>
      <c r="D171" s="479"/>
      <c r="E171" s="479"/>
      <c r="F171" s="263"/>
      <c r="G171" s="496"/>
      <c r="H171" s="497"/>
      <c r="I171" s="109">
        <v>3</v>
      </c>
      <c r="J171" s="64" t="s">
        <v>153</v>
      </c>
      <c r="K171" s="498"/>
      <c r="L171" s="498"/>
      <c r="M171" s="498"/>
      <c r="N171" s="500"/>
      <c r="O171" s="503"/>
      <c r="P171" s="500"/>
      <c r="Q171" s="507"/>
      <c r="R171" s="507"/>
      <c r="S171" s="324"/>
      <c r="T171" s="321"/>
      <c r="U171" s="566"/>
      <c r="V171" s="324"/>
      <c r="W171" s="324"/>
      <c r="X171" s="324"/>
      <c r="Y171" s="324"/>
    </row>
    <row r="172" spans="1:25" ht="18" customHeight="1">
      <c r="A172" s="263"/>
      <c r="B172" s="263"/>
      <c r="C172" s="495"/>
      <c r="D172" s="479"/>
      <c r="E172" s="479"/>
      <c r="F172" s="263"/>
      <c r="G172" s="496"/>
      <c r="H172" s="497"/>
      <c r="I172" s="109">
        <v>4</v>
      </c>
      <c r="J172" s="64" t="s">
        <v>154</v>
      </c>
      <c r="K172" s="498"/>
      <c r="L172" s="498"/>
      <c r="M172" s="498"/>
      <c r="N172" s="500"/>
      <c r="O172" s="503"/>
      <c r="P172" s="500"/>
      <c r="Q172" s="507"/>
      <c r="R172" s="507"/>
      <c r="S172" s="324"/>
      <c r="T172" s="321"/>
      <c r="U172" s="566"/>
      <c r="V172" s="324"/>
      <c r="W172" s="324"/>
      <c r="X172" s="324"/>
      <c r="Y172" s="324"/>
    </row>
    <row r="173" spans="1:25" ht="18" customHeight="1">
      <c r="A173" s="263"/>
      <c r="B173" s="263"/>
      <c r="C173" s="495"/>
      <c r="D173" s="479"/>
      <c r="E173" s="479"/>
      <c r="F173" s="263"/>
      <c r="G173" s="496"/>
      <c r="H173" s="497"/>
      <c r="I173" s="104">
        <v>77</v>
      </c>
      <c r="J173" s="16" t="s">
        <v>155</v>
      </c>
      <c r="K173" s="498"/>
      <c r="L173" s="498"/>
      <c r="M173" s="498"/>
      <c r="N173" s="501"/>
      <c r="O173" s="504"/>
      <c r="P173" s="505"/>
      <c r="Q173" s="508"/>
      <c r="R173" s="508"/>
      <c r="S173" s="564"/>
      <c r="T173" s="322"/>
      <c r="U173" s="567"/>
      <c r="V173" s="325"/>
      <c r="W173" s="325"/>
      <c r="X173" s="325"/>
      <c r="Y173" s="325"/>
    </row>
    <row r="174" spans="1:25" s="27" customFormat="1" ht="15.75" customHeight="1">
      <c r="A174" s="263" t="s">
        <v>351</v>
      </c>
      <c r="B174" s="263" t="s">
        <v>352</v>
      </c>
      <c r="C174" s="495" t="s">
        <v>146</v>
      </c>
      <c r="D174" s="479">
        <v>16</v>
      </c>
      <c r="E174" s="479" t="s">
        <v>353</v>
      </c>
      <c r="F174" s="263" t="s">
        <v>165</v>
      </c>
      <c r="G174" s="263" t="s">
        <v>354</v>
      </c>
      <c r="H174" s="267" t="s">
        <v>40</v>
      </c>
      <c r="I174" s="106">
        <v>1</v>
      </c>
      <c r="J174" s="15" t="s">
        <v>355</v>
      </c>
      <c r="K174" s="271" t="s">
        <v>46</v>
      </c>
      <c r="L174" s="271">
        <v>1</v>
      </c>
      <c r="M174" s="271" t="s">
        <v>40</v>
      </c>
      <c r="N174" s="509" t="s">
        <v>161</v>
      </c>
      <c r="O174" s="216" t="s">
        <v>51</v>
      </c>
      <c r="P174" s="515" t="s">
        <v>356</v>
      </c>
      <c r="Q174" s="459" t="s">
        <v>40</v>
      </c>
      <c r="R174" s="459" t="s">
        <v>40</v>
      </c>
      <c r="S174" s="317" t="s">
        <v>40</v>
      </c>
      <c r="T174" s="22" t="s">
        <v>40</v>
      </c>
      <c r="U174" s="331"/>
      <c r="V174" s="331"/>
      <c r="W174" s="331"/>
      <c r="X174" s="331"/>
      <c r="Y174" s="331"/>
    </row>
    <row r="175" spans="1:25" s="27" customFormat="1" ht="14.25" customHeight="1">
      <c r="A175" s="263"/>
      <c r="B175" s="263"/>
      <c r="C175" s="495"/>
      <c r="D175" s="479"/>
      <c r="E175" s="479"/>
      <c r="F175" s="263"/>
      <c r="G175" s="263"/>
      <c r="H175" s="267"/>
      <c r="I175" s="106">
        <v>2</v>
      </c>
      <c r="J175" s="15" t="s">
        <v>357</v>
      </c>
      <c r="K175" s="271"/>
      <c r="L175" s="271"/>
      <c r="M175" s="271"/>
      <c r="N175" s="510"/>
      <c r="O175" s="326"/>
      <c r="P175" s="516"/>
      <c r="Q175" s="460"/>
      <c r="R175" s="460"/>
      <c r="S175" s="318"/>
      <c r="T175" s="23" t="s">
        <v>40</v>
      </c>
      <c r="U175" s="332"/>
      <c r="V175" s="332"/>
      <c r="W175" s="332"/>
      <c r="X175" s="332"/>
      <c r="Y175" s="332"/>
    </row>
    <row r="176" spans="1:25" s="27" customFormat="1" ht="14.25" customHeight="1">
      <c r="A176" s="263"/>
      <c r="B176" s="263"/>
      <c r="C176" s="495"/>
      <c r="D176" s="479"/>
      <c r="E176" s="479"/>
      <c r="F176" s="263"/>
      <c r="G176" s="263"/>
      <c r="H176" s="267"/>
      <c r="I176" s="106">
        <v>3</v>
      </c>
      <c r="J176" s="15" t="s">
        <v>358</v>
      </c>
      <c r="K176" s="271"/>
      <c r="L176" s="271"/>
      <c r="M176" s="271"/>
      <c r="N176" s="510"/>
      <c r="O176" s="326"/>
      <c r="P176" s="516"/>
      <c r="Q176" s="460"/>
      <c r="R176" s="460"/>
      <c r="S176" s="318"/>
      <c r="T176" s="23" t="s">
        <v>40</v>
      </c>
      <c r="U176" s="332"/>
      <c r="V176" s="332"/>
      <c r="W176" s="332"/>
      <c r="X176" s="332"/>
      <c r="Y176" s="332"/>
    </row>
    <row r="177" spans="1:25" s="27" customFormat="1" ht="30" customHeight="1">
      <c r="A177" s="263"/>
      <c r="B177" s="263"/>
      <c r="C177" s="495"/>
      <c r="D177" s="479"/>
      <c r="E177" s="479"/>
      <c r="F177" s="263"/>
      <c r="G177" s="263"/>
      <c r="H177" s="267"/>
      <c r="I177" s="106">
        <v>3</v>
      </c>
      <c r="J177" s="49" t="s">
        <v>359</v>
      </c>
      <c r="K177" s="271"/>
      <c r="L177" s="271"/>
      <c r="M177" s="271"/>
      <c r="N177" s="510"/>
      <c r="O177" s="326"/>
      <c r="P177" s="516"/>
      <c r="Q177" s="460"/>
      <c r="R177" s="460"/>
      <c r="S177" s="318"/>
      <c r="T177" s="23" t="s">
        <v>40</v>
      </c>
      <c r="U177" s="332"/>
      <c r="V177" s="332"/>
      <c r="W177" s="332"/>
      <c r="X177" s="332"/>
      <c r="Y177" s="332"/>
    </row>
    <row r="178" spans="1:25" s="27" customFormat="1" ht="30" customHeight="1">
      <c r="A178" s="263"/>
      <c r="B178" s="263"/>
      <c r="C178" s="495"/>
      <c r="D178" s="479"/>
      <c r="E178" s="479"/>
      <c r="F178" s="263"/>
      <c r="G178" s="263"/>
      <c r="H178" s="267"/>
      <c r="I178" s="106">
        <v>4</v>
      </c>
      <c r="J178" s="49" t="s">
        <v>360</v>
      </c>
      <c r="K178" s="271"/>
      <c r="L178" s="271"/>
      <c r="M178" s="271"/>
      <c r="N178" s="510"/>
      <c r="O178" s="326"/>
      <c r="P178" s="516"/>
      <c r="Q178" s="460"/>
      <c r="R178" s="460"/>
      <c r="S178" s="318"/>
      <c r="T178" s="23" t="s">
        <v>40</v>
      </c>
      <c r="U178" s="332"/>
      <c r="V178" s="332"/>
      <c r="W178" s="332"/>
      <c r="X178" s="332"/>
      <c r="Y178" s="332"/>
    </row>
    <row r="179" spans="1:25" s="27" customFormat="1" ht="30" customHeight="1">
      <c r="A179" s="263"/>
      <c r="B179" s="263"/>
      <c r="C179" s="495"/>
      <c r="D179" s="479"/>
      <c r="E179" s="479"/>
      <c r="F179" s="263"/>
      <c r="G179" s="263"/>
      <c r="H179" s="267"/>
      <c r="I179" s="106">
        <v>5</v>
      </c>
      <c r="J179" s="49" t="s">
        <v>361</v>
      </c>
      <c r="K179" s="271"/>
      <c r="L179" s="271"/>
      <c r="M179" s="271"/>
      <c r="N179" s="510"/>
      <c r="O179" s="326"/>
      <c r="P179" s="516"/>
      <c r="Q179" s="460"/>
      <c r="R179" s="460"/>
      <c r="S179" s="318"/>
      <c r="T179" s="23"/>
      <c r="U179" s="332"/>
      <c r="V179" s="332"/>
      <c r="W179" s="332"/>
      <c r="X179" s="332"/>
      <c r="Y179" s="332"/>
    </row>
    <row r="180" spans="1:25" s="27" customFormat="1" ht="30" customHeight="1">
      <c r="A180" s="263"/>
      <c r="B180" s="263"/>
      <c r="C180" s="495"/>
      <c r="D180" s="479"/>
      <c r="E180" s="479"/>
      <c r="F180" s="263"/>
      <c r="G180" s="263"/>
      <c r="H180" s="267"/>
      <c r="I180" s="106">
        <v>6</v>
      </c>
      <c r="J180" s="49" t="s">
        <v>362</v>
      </c>
      <c r="K180" s="271"/>
      <c r="L180" s="271"/>
      <c r="M180" s="271"/>
      <c r="N180" s="510"/>
      <c r="O180" s="326"/>
      <c r="P180" s="516"/>
      <c r="Q180" s="460"/>
      <c r="R180" s="460"/>
      <c r="S180" s="318"/>
      <c r="T180" s="23"/>
      <c r="U180" s="332"/>
      <c r="V180" s="332"/>
      <c r="W180" s="332"/>
      <c r="X180" s="332"/>
      <c r="Y180" s="332"/>
    </row>
    <row r="181" spans="1:25" s="27" customFormat="1" ht="18" customHeight="1">
      <c r="A181" s="263"/>
      <c r="B181" s="263"/>
      <c r="C181" s="495"/>
      <c r="D181" s="479"/>
      <c r="E181" s="479"/>
      <c r="F181" s="263"/>
      <c r="G181" s="263"/>
      <c r="H181" s="267"/>
      <c r="I181" s="106">
        <v>7</v>
      </c>
      <c r="J181" s="49" t="s">
        <v>287</v>
      </c>
      <c r="K181" s="271"/>
      <c r="L181" s="271"/>
      <c r="M181" s="271"/>
      <c r="N181" s="510"/>
      <c r="O181" s="326"/>
      <c r="P181" s="516"/>
      <c r="Q181" s="460"/>
      <c r="R181" s="460"/>
      <c r="S181" s="318"/>
      <c r="T181" s="23" t="s">
        <v>40</v>
      </c>
      <c r="U181" s="332"/>
      <c r="V181" s="332"/>
      <c r="W181" s="332"/>
      <c r="X181" s="332"/>
      <c r="Y181" s="332"/>
    </row>
    <row r="182" spans="1:25" s="27" customFormat="1" ht="18" customHeight="1">
      <c r="A182" s="263"/>
      <c r="B182" s="263"/>
      <c r="C182" s="495"/>
      <c r="D182" s="479"/>
      <c r="E182" s="479"/>
      <c r="F182" s="263"/>
      <c r="G182" s="263"/>
      <c r="H182" s="267"/>
      <c r="I182" s="106">
        <v>77</v>
      </c>
      <c r="J182" s="15" t="s">
        <v>155</v>
      </c>
      <c r="K182" s="271"/>
      <c r="L182" s="271"/>
      <c r="M182" s="271"/>
      <c r="N182" s="511"/>
      <c r="O182" s="217"/>
      <c r="P182" s="517"/>
      <c r="Q182" s="461"/>
      <c r="R182" s="461"/>
      <c r="S182" s="319"/>
      <c r="T182" s="23" t="s">
        <v>40</v>
      </c>
      <c r="U182" s="333"/>
      <c r="V182" s="333"/>
      <c r="W182" s="333"/>
      <c r="X182" s="333"/>
      <c r="Y182" s="333"/>
    </row>
    <row r="183" spans="1:25" ht="18" customHeight="1">
      <c r="A183" s="223" t="s">
        <v>351</v>
      </c>
      <c r="B183" s="223" t="s">
        <v>363</v>
      </c>
      <c r="C183" s="223" t="s">
        <v>146</v>
      </c>
      <c r="D183" s="224">
        <v>16</v>
      </c>
      <c r="E183" s="224" t="s">
        <v>364</v>
      </c>
      <c r="F183" s="269" t="s">
        <v>365</v>
      </c>
      <c r="G183" s="263" t="s">
        <v>366</v>
      </c>
      <c r="H183" s="267" t="s">
        <v>209</v>
      </c>
      <c r="I183" s="106">
        <v>1</v>
      </c>
      <c r="J183" s="49" t="s">
        <v>210</v>
      </c>
      <c r="K183" s="247" t="s">
        <v>46</v>
      </c>
      <c r="L183" s="247">
        <v>1</v>
      </c>
      <c r="M183" s="247"/>
      <c r="N183" s="328" t="s">
        <v>50</v>
      </c>
      <c r="O183" s="235" t="s">
        <v>51</v>
      </c>
      <c r="P183" s="235" t="s">
        <v>45</v>
      </c>
      <c r="Q183" s="225"/>
      <c r="R183" s="225"/>
      <c r="S183" s="278"/>
      <c r="T183" s="278"/>
      <c r="U183" s="339"/>
      <c r="V183" s="278"/>
      <c r="W183" s="278"/>
      <c r="X183" s="278"/>
      <c r="Y183" s="278"/>
    </row>
    <row r="184" spans="1:25" ht="18" customHeight="1">
      <c r="A184" s="223"/>
      <c r="B184" s="223"/>
      <c r="C184" s="223"/>
      <c r="D184" s="224"/>
      <c r="E184" s="224"/>
      <c r="F184" s="269"/>
      <c r="G184" s="263"/>
      <c r="H184" s="267"/>
      <c r="I184" s="106">
        <v>2</v>
      </c>
      <c r="J184" s="49" t="s">
        <v>212</v>
      </c>
      <c r="K184" s="247"/>
      <c r="L184" s="247"/>
      <c r="M184" s="247"/>
      <c r="N184" s="329"/>
      <c r="O184" s="236"/>
      <c r="P184" s="236"/>
      <c r="Q184" s="226"/>
      <c r="R184" s="226"/>
      <c r="S184" s="279"/>
      <c r="T184" s="279"/>
      <c r="U184" s="279"/>
      <c r="V184" s="279"/>
      <c r="W184" s="279"/>
      <c r="X184" s="279"/>
      <c r="Y184" s="279"/>
    </row>
    <row r="185" spans="1:25" ht="18" customHeight="1">
      <c r="A185" s="223"/>
      <c r="B185" s="223"/>
      <c r="C185" s="223"/>
      <c r="D185" s="224"/>
      <c r="E185" s="224"/>
      <c r="F185" s="269"/>
      <c r="G185" s="263"/>
      <c r="H185" s="267"/>
      <c r="I185" s="106">
        <v>3</v>
      </c>
      <c r="J185" s="49" t="s">
        <v>367</v>
      </c>
      <c r="K185" s="247"/>
      <c r="L185" s="247"/>
      <c r="M185" s="247"/>
      <c r="N185" s="329"/>
      <c r="O185" s="236"/>
      <c r="P185" s="236"/>
      <c r="Q185" s="226"/>
      <c r="R185" s="226"/>
      <c r="S185" s="279"/>
      <c r="T185" s="279"/>
      <c r="U185" s="279"/>
      <c r="V185" s="279"/>
      <c r="W185" s="279"/>
      <c r="X185" s="279"/>
      <c r="Y185" s="279"/>
    </row>
    <row r="186" spans="1:25" ht="18" customHeight="1">
      <c r="A186" s="223"/>
      <c r="B186" s="223"/>
      <c r="C186" s="223"/>
      <c r="D186" s="224"/>
      <c r="E186" s="224"/>
      <c r="F186" s="269"/>
      <c r="G186" s="263"/>
      <c r="H186" s="267"/>
      <c r="I186" s="104">
        <v>77</v>
      </c>
      <c r="J186" s="16" t="s">
        <v>155</v>
      </c>
      <c r="K186" s="247"/>
      <c r="L186" s="247"/>
      <c r="M186" s="247"/>
      <c r="N186" s="330"/>
      <c r="O186" s="237"/>
      <c r="P186" s="237"/>
      <c r="Q186" s="227"/>
      <c r="R186" s="227"/>
      <c r="S186" s="280"/>
      <c r="T186" s="280"/>
      <c r="U186" s="280"/>
      <c r="V186" s="280"/>
      <c r="W186" s="280"/>
      <c r="X186" s="280"/>
      <c r="Y186" s="280"/>
    </row>
    <row r="187" spans="1:25" ht="14.25" customHeight="1">
      <c r="A187" s="263" t="s">
        <v>368</v>
      </c>
      <c r="B187" s="263" t="s">
        <v>369</v>
      </c>
      <c r="C187" s="263" t="s">
        <v>158</v>
      </c>
      <c r="D187" s="479">
        <v>16</v>
      </c>
      <c r="E187" s="479" t="s">
        <v>370</v>
      </c>
      <c r="F187" s="263" t="s">
        <v>371</v>
      </c>
      <c r="G187" s="254" t="s">
        <v>372</v>
      </c>
      <c r="H187" s="270" t="s">
        <v>373</v>
      </c>
      <c r="I187" s="100">
        <v>1</v>
      </c>
      <c r="J187" s="15" t="s">
        <v>374</v>
      </c>
      <c r="K187" s="365" t="s">
        <v>46</v>
      </c>
      <c r="L187" s="365">
        <v>1</v>
      </c>
      <c r="M187" s="365" t="s">
        <v>40</v>
      </c>
      <c r="N187" s="476" t="s">
        <v>161</v>
      </c>
      <c r="O187" s="220" t="s">
        <v>51</v>
      </c>
      <c r="P187" s="541" t="s">
        <v>375</v>
      </c>
      <c r="Q187" s="544"/>
      <c r="R187" s="544"/>
      <c r="S187" s="568" t="s">
        <v>40</v>
      </c>
      <c r="T187" s="571" t="s">
        <v>40</v>
      </c>
      <c r="U187" s="275" t="s">
        <v>40</v>
      </c>
      <c r="V187" s="275" t="s">
        <v>40</v>
      </c>
      <c r="W187" s="275" t="s">
        <v>40</v>
      </c>
      <c r="X187" s="275" t="s">
        <v>40</v>
      </c>
      <c r="Y187" s="275" t="s">
        <v>40</v>
      </c>
    </row>
    <row r="188" spans="1:25" ht="18" customHeight="1">
      <c r="A188" s="263"/>
      <c r="B188" s="263"/>
      <c r="C188" s="263"/>
      <c r="D188" s="479"/>
      <c r="E188" s="479"/>
      <c r="F188" s="263"/>
      <c r="G188" s="254"/>
      <c r="H188" s="270"/>
      <c r="I188" s="100">
        <v>2</v>
      </c>
      <c r="J188" s="15" t="s">
        <v>237</v>
      </c>
      <c r="K188" s="365"/>
      <c r="L188" s="365"/>
      <c r="M188" s="365"/>
      <c r="N188" s="477"/>
      <c r="O188" s="221"/>
      <c r="P188" s="542"/>
      <c r="Q188" s="545"/>
      <c r="R188" s="545"/>
      <c r="S188" s="569"/>
      <c r="T188" s="572"/>
      <c r="U188" s="276"/>
      <c r="V188" s="276"/>
      <c r="W188" s="276"/>
      <c r="X188" s="276"/>
      <c r="Y188" s="276"/>
    </row>
    <row r="189" spans="1:25" ht="14.25" customHeight="1">
      <c r="A189" s="263"/>
      <c r="B189" s="263"/>
      <c r="C189" s="263"/>
      <c r="D189" s="479"/>
      <c r="E189" s="479"/>
      <c r="F189" s="263"/>
      <c r="G189" s="254"/>
      <c r="H189" s="270"/>
      <c r="I189" s="100">
        <v>3</v>
      </c>
      <c r="J189" s="15" t="s">
        <v>376</v>
      </c>
      <c r="K189" s="365"/>
      <c r="L189" s="365"/>
      <c r="M189" s="365"/>
      <c r="N189" s="477"/>
      <c r="O189" s="221"/>
      <c r="P189" s="542"/>
      <c r="Q189" s="545"/>
      <c r="R189" s="545"/>
      <c r="S189" s="569"/>
      <c r="T189" s="572"/>
      <c r="U189" s="276"/>
      <c r="V189" s="276"/>
      <c r="W189" s="276"/>
      <c r="X189" s="276"/>
      <c r="Y189" s="276"/>
    </row>
    <row r="190" spans="1:25" ht="15.75" customHeight="1">
      <c r="A190" s="263"/>
      <c r="B190" s="263"/>
      <c r="C190" s="263"/>
      <c r="D190" s="479"/>
      <c r="E190" s="479"/>
      <c r="F190" s="263"/>
      <c r="G190" s="254"/>
      <c r="H190" s="270"/>
      <c r="I190" s="100">
        <v>4</v>
      </c>
      <c r="J190" s="15" t="s">
        <v>314</v>
      </c>
      <c r="K190" s="365"/>
      <c r="L190" s="365"/>
      <c r="M190" s="365"/>
      <c r="N190" s="477"/>
      <c r="O190" s="221"/>
      <c r="P190" s="542"/>
      <c r="Q190" s="545"/>
      <c r="R190" s="545"/>
      <c r="S190" s="569"/>
      <c r="T190" s="572"/>
      <c r="U190" s="276"/>
      <c r="V190" s="276"/>
      <c r="W190" s="276"/>
      <c r="X190" s="276"/>
      <c r="Y190" s="276"/>
    </row>
    <row r="191" spans="1:25" ht="30" customHeight="1">
      <c r="A191" s="263"/>
      <c r="B191" s="263"/>
      <c r="C191" s="263"/>
      <c r="D191" s="479"/>
      <c r="E191" s="479"/>
      <c r="F191" s="263"/>
      <c r="G191" s="254"/>
      <c r="H191" s="270"/>
      <c r="I191" s="100">
        <v>5</v>
      </c>
      <c r="J191" s="15" t="s">
        <v>377</v>
      </c>
      <c r="K191" s="365"/>
      <c r="L191" s="365"/>
      <c r="M191" s="365"/>
      <c r="N191" s="477"/>
      <c r="O191" s="221"/>
      <c r="P191" s="542"/>
      <c r="Q191" s="545"/>
      <c r="R191" s="545"/>
      <c r="S191" s="569"/>
      <c r="T191" s="572"/>
      <c r="U191" s="276"/>
      <c r="V191" s="276"/>
      <c r="W191" s="276"/>
      <c r="X191" s="276"/>
      <c r="Y191" s="276"/>
    </row>
    <row r="192" spans="1:25" ht="14.25" customHeight="1">
      <c r="A192" s="263"/>
      <c r="B192" s="263"/>
      <c r="C192" s="263"/>
      <c r="D192" s="479"/>
      <c r="E192" s="479"/>
      <c r="F192" s="263"/>
      <c r="G192" s="254"/>
      <c r="H192" s="270"/>
      <c r="I192" s="100">
        <v>6</v>
      </c>
      <c r="J192" s="15" t="s">
        <v>378</v>
      </c>
      <c r="K192" s="365"/>
      <c r="L192" s="365"/>
      <c r="M192" s="365"/>
      <c r="N192" s="477"/>
      <c r="O192" s="221"/>
      <c r="P192" s="542"/>
      <c r="Q192" s="545"/>
      <c r="R192" s="545"/>
      <c r="S192" s="569"/>
      <c r="T192" s="572"/>
      <c r="U192" s="276"/>
      <c r="V192" s="276"/>
      <c r="W192" s="276"/>
      <c r="X192" s="276"/>
      <c r="Y192" s="276"/>
    </row>
    <row r="193" spans="1:25" s="24" customFormat="1" ht="18.75" customHeight="1">
      <c r="A193" s="263"/>
      <c r="B193" s="263"/>
      <c r="C193" s="263"/>
      <c r="D193" s="479"/>
      <c r="E193" s="479"/>
      <c r="F193" s="263"/>
      <c r="G193" s="254"/>
      <c r="H193" s="270"/>
      <c r="I193" s="100">
        <v>7</v>
      </c>
      <c r="J193" s="15" t="s">
        <v>379</v>
      </c>
      <c r="K193" s="365"/>
      <c r="L193" s="365"/>
      <c r="M193" s="365"/>
      <c r="N193" s="477"/>
      <c r="O193" s="221"/>
      <c r="P193" s="542"/>
      <c r="Q193" s="545"/>
      <c r="R193" s="545"/>
      <c r="S193" s="569"/>
      <c r="T193" s="572"/>
      <c r="U193" s="276"/>
      <c r="V193" s="276"/>
      <c r="W193" s="276"/>
      <c r="X193" s="276"/>
      <c r="Y193" s="276"/>
    </row>
    <row r="194" spans="1:25" s="24" customFormat="1" ht="20.25" customHeight="1">
      <c r="A194" s="263"/>
      <c r="B194" s="263"/>
      <c r="C194" s="263"/>
      <c r="D194" s="479"/>
      <c r="E194" s="479"/>
      <c r="F194" s="263"/>
      <c r="G194" s="254"/>
      <c r="H194" s="270"/>
      <c r="I194" s="100">
        <v>8</v>
      </c>
      <c r="J194" s="15" t="s">
        <v>380</v>
      </c>
      <c r="K194" s="365"/>
      <c r="L194" s="365"/>
      <c r="M194" s="365"/>
      <c r="N194" s="477"/>
      <c r="O194" s="221"/>
      <c r="P194" s="542"/>
      <c r="Q194" s="545"/>
      <c r="R194" s="545"/>
      <c r="S194" s="569"/>
      <c r="T194" s="572"/>
      <c r="U194" s="276"/>
      <c r="V194" s="276"/>
      <c r="W194" s="276"/>
      <c r="X194" s="276"/>
      <c r="Y194" s="276"/>
    </row>
    <row r="195" spans="1:25" s="24" customFormat="1" ht="19.5" customHeight="1">
      <c r="A195" s="263"/>
      <c r="B195" s="263"/>
      <c r="C195" s="263"/>
      <c r="D195" s="479"/>
      <c r="E195" s="479"/>
      <c r="F195" s="263"/>
      <c r="G195" s="254"/>
      <c r="H195" s="270"/>
      <c r="I195" s="100">
        <v>9</v>
      </c>
      <c r="J195" s="15" t="s">
        <v>242</v>
      </c>
      <c r="K195" s="365"/>
      <c r="L195" s="365"/>
      <c r="M195" s="365"/>
      <c r="N195" s="477"/>
      <c r="O195" s="221"/>
      <c r="P195" s="542"/>
      <c r="Q195" s="545"/>
      <c r="R195" s="545"/>
      <c r="S195" s="569"/>
      <c r="T195" s="572"/>
      <c r="U195" s="276"/>
      <c r="V195" s="276"/>
      <c r="W195" s="276"/>
      <c r="X195" s="276"/>
      <c r="Y195" s="276"/>
    </row>
    <row r="196" spans="1:25" s="24" customFormat="1" ht="18" customHeight="1">
      <c r="A196" s="263"/>
      <c r="B196" s="263"/>
      <c r="C196" s="263"/>
      <c r="D196" s="479"/>
      <c r="E196" s="479"/>
      <c r="F196" s="263"/>
      <c r="G196" s="254"/>
      <c r="H196" s="270"/>
      <c r="I196" s="100">
        <v>77</v>
      </c>
      <c r="J196" s="15" t="s">
        <v>243</v>
      </c>
      <c r="K196" s="365"/>
      <c r="L196" s="365"/>
      <c r="M196" s="365"/>
      <c r="N196" s="478"/>
      <c r="O196" s="222"/>
      <c r="P196" s="543"/>
      <c r="Q196" s="546"/>
      <c r="R196" s="546"/>
      <c r="S196" s="570"/>
      <c r="T196" s="573"/>
      <c r="U196" s="277"/>
      <c r="V196" s="277"/>
      <c r="W196" s="277"/>
      <c r="X196" s="277"/>
      <c r="Y196" s="277"/>
    </row>
    <row r="197" spans="1:25" s="24" customFormat="1" ht="31">
      <c r="A197" s="157" t="s">
        <v>40</v>
      </c>
      <c r="B197" s="157" t="s">
        <v>40</v>
      </c>
      <c r="C197" s="62" t="s">
        <v>40</v>
      </c>
      <c r="D197" s="150">
        <v>17</v>
      </c>
      <c r="E197" s="150" t="s">
        <v>381</v>
      </c>
      <c r="F197" s="49" t="s">
        <v>40</v>
      </c>
      <c r="G197" s="145" t="s">
        <v>382</v>
      </c>
      <c r="H197" s="75" t="s">
        <v>40</v>
      </c>
      <c r="I197" s="100" t="s">
        <v>40</v>
      </c>
      <c r="J197" s="15" t="s">
        <v>40</v>
      </c>
      <c r="K197" s="100" t="s">
        <v>46</v>
      </c>
      <c r="L197" s="100">
        <v>1</v>
      </c>
      <c r="M197" s="100" t="s">
        <v>40</v>
      </c>
      <c r="N197" s="179" t="s">
        <v>44</v>
      </c>
      <c r="O197" s="179" t="s">
        <v>40</v>
      </c>
      <c r="P197" s="179" t="s">
        <v>45</v>
      </c>
      <c r="Q197" s="189" t="s">
        <v>40</v>
      </c>
      <c r="R197" s="189" t="s">
        <v>40</v>
      </c>
      <c r="S197" s="21" t="s">
        <v>40</v>
      </c>
      <c r="T197" s="21" t="s">
        <v>40</v>
      </c>
      <c r="U197" s="21" t="s">
        <v>40</v>
      </c>
      <c r="V197" s="21" t="s">
        <v>40</v>
      </c>
      <c r="W197" s="21" t="s">
        <v>40</v>
      </c>
      <c r="X197" s="21" t="s">
        <v>40</v>
      </c>
      <c r="Y197" s="21" t="s">
        <v>40</v>
      </c>
    </row>
    <row r="198" spans="1:25" s="28" customFormat="1" ht="18" customHeight="1">
      <c r="A198" s="159" t="s">
        <v>383</v>
      </c>
      <c r="B198" s="159" t="s">
        <v>384</v>
      </c>
      <c r="C198" s="469" t="s">
        <v>129</v>
      </c>
      <c r="D198" s="481">
        <v>17</v>
      </c>
      <c r="E198" s="481" t="s">
        <v>385</v>
      </c>
      <c r="F198" s="482" t="s">
        <v>386</v>
      </c>
      <c r="G198" s="275" t="s">
        <v>387</v>
      </c>
      <c r="H198" s="469" t="s">
        <v>388</v>
      </c>
      <c r="I198" s="111">
        <v>1</v>
      </c>
      <c r="J198" s="35" t="s">
        <v>120</v>
      </c>
      <c r="K198" s="468" t="s">
        <v>46</v>
      </c>
      <c r="L198" s="468">
        <v>1</v>
      </c>
      <c r="M198" s="468" t="s">
        <v>40</v>
      </c>
      <c r="N198" s="483" t="s">
        <v>50</v>
      </c>
      <c r="O198" s="335" t="s">
        <v>51</v>
      </c>
      <c r="P198" s="483" t="s">
        <v>45</v>
      </c>
      <c r="Q198" s="484" t="s">
        <v>40</v>
      </c>
      <c r="R198" s="484" t="s">
        <v>40</v>
      </c>
      <c r="S198" s="487" t="s">
        <v>40</v>
      </c>
      <c r="T198" s="29" t="s">
        <v>40</v>
      </c>
      <c r="U198" s="251"/>
      <c r="V198" s="335"/>
      <c r="W198" s="335" t="s">
        <v>40</v>
      </c>
      <c r="X198" s="335" t="s">
        <v>40</v>
      </c>
      <c r="Y198" s="335" t="s">
        <v>40</v>
      </c>
    </row>
    <row r="199" spans="1:25" s="28" customFormat="1" ht="18" customHeight="1">
      <c r="A199" s="159" t="s">
        <v>389</v>
      </c>
      <c r="B199" s="159" t="s">
        <v>390</v>
      </c>
      <c r="C199" s="469"/>
      <c r="D199" s="481"/>
      <c r="E199" s="481"/>
      <c r="F199" s="482"/>
      <c r="G199" s="276"/>
      <c r="H199" s="469"/>
      <c r="I199" s="111">
        <v>2</v>
      </c>
      <c r="J199" s="35" t="s">
        <v>391</v>
      </c>
      <c r="K199" s="468"/>
      <c r="L199" s="468"/>
      <c r="M199" s="468"/>
      <c r="N199" s="472"/>
      <c r="O199" s="336"/>
      <c r="P199" s="472"/>
      <c r="Q199" s="485"/>
      <c r="R199" s="485"/>
      <c r="S199" s="488"/>
      <c r="T199" s="30" t="s">
        <v>40</v>
      </c>
      <c r="U199" s="252"/>
      <c r="V199" s="336"/>
      <c r="W199" s="336"/>
      <c r="X199" s="336"/>
      <c r="Y199" s="336"/>
    </row>
    <row r="200" spans="1:25" s="28" customFormat="1" ht="18" customHeight="1">
      <c r="A200" s="158" t="s">
        <v>392</v>
      </c>
      <c r="B200" s="158" t="s">
        <v>393</v>
      </c>
      <c r="C200" s="482"/>
      <c r="D200" s="481"/>
      <c r="E200" s="481"/>
      <c r="F200" s="482"/>
      <c r="G200" s="276"/>
      <c r="H200" s="469"/>
      <c r="I200" s="111">
        <v>3</v>
      </c>
      <c r="J200" s="35" t="s">
        <v>394</v>
      </c>
      <c r="K200" s="468"/>
      <c r="L200" s="468"/>
      <c r="M200" s="468"/>
      <c r="N200" s="472"/>
      <c r="O200" s="336"/>
      <c r="P200" s="472"/>
      <c r="Q200" s="485"/>
      <c r="R200" s="485"/>
      <c r="S200" s="488"/>
      <c r="T200" s="30" t="s">
        <v>40</v>
      </c>
      <c r="U200" s="252"/>
      <c r="V200" s="336"/>
      <c r="W200" s="336"/>
      <c r="X200" s="336"/>
      <c r="Y200" s="336"/>
    </row>
    <row r="201" spans="1:25" s="28" customFormat="1" ht="18" customHeight="1">
      <c r="A201" s="649" t="s">
        <v>395</v>
      </c>
      <c r="B201" s="649" t="s">
        <v>396</v>
      </c>
      <c r="C201" s="482"/>
      <c r="D201" s="481"/>
      <c r="E201" s="481"/>
      <c r="F201" s="482"/>
      <c r="G201" s="276"/>
      <c r="H201" s="469"/>
      <c r="I201" s="111">
        <v>4</v>
      </c>
      <c r="J201" s="35" t="s">
        <v>397</v>
      </c>
      <c r="K201" s="468"/>
      <c r="L201" s="468"/>
      <c r="M201" s="468"/>
      <c r="N201" s="472"/>
      <c r="O201" s="336"/>
      <c r="P201" s="472"/>
      <c r="Q201" s="485"/>
      <c r="R201" s="485"/>
      <c r="S201" s="488"/>
      <c r="T201" s="30"/>
      <c r="U201" s="252"/>
      <c r="V201" s="336"/>
      <c r="W201" s="336"/>
      <c r="X201" s="336"/>
      <c r="Y201" s="336"/>
    </row>
    <row r="202" spans="1:25" s="28" customFormat="1" ht="18" customHeight="1">
      <c r="A202" s="650"/>
      <c r="B202" s="650"/>
      <c r="C202" s="482"/>
      <c r="D202" s="481"/>
      <c r="E202" s="481"/>
      <c r="F202" s="482"/>
      <c r="G202" s="277"/>
      <c r="H202" s="469"/>
      <c r="I202" s="28">
        <v>77</v>
      </c>
      <c r="J202" s="28" t="s">
        <v>155</v>
      </c>
      <c r="K202" s="468"/>
      <c r="L202" s="468"/>
      <c r="M202" s="468"/>
      <c r="N202" s="473"/>
      <c r="O202" s="337"/>
      <c r="P202" s="473"/>
      <c r="Q202" s="486"/>
      <c r="R202" s="486"/>
      <c r="S202" s="489"/>
      <c r="T202" s="30" t="s">
        <v>40</v>
      </c>
      <c r="U202" s="253"/>
      <c r="V202" s="337"/>
      <c r="W202" s="337"/>
      <c r="X202" s="337"/>
      <c r="Y202" s="337"/>
    </row>
    <row r="203" spans="1:25" s="28" customFormat="1" ht="18" customHeight="1">
      <c r="A203" s="490" t="s">
        <v>398</v>
      </c>
      <c r="B203" s="490" t="s">
        <v>399</v>
      </c>
      <c r="C203" s="491" t="s">
        <v>146</v>
      </c>
      <c r="D203" s="481">
        <v>18</v>
      </c>
      <c r="E203" s="481" t="s">
        <v>400</v>
      </c>
      <c r="F203" s="482" t="s">
        <v>371</v>
      </c>
      <c r="G203" s="415" t="s">
        <v>401</v>
      </c>
      <c r="H203" s="469" t="s">
        <v>40</v>
      </c>
      <c r="I203" s="111">
        <v>1</v>
      </c>
      <c r="J203" s="35" t="s">
        <v>402</v>
      </c>
      <c r="K203" s="468" t="str">
        <f>E198</f>
        <v>V31</v>
      </c>
      <c r="L203" s="468">
        <v>2</v>
      </c>
      <c r="M203" s="468" t="s">
        <v>403</v>
      </c>
      <c r="N203" s="472" t="s">
        <v>50</v>
      </c>
      <c r="O203" s="336" t="s">
        <v>51</v>
      </c>
      <c r="P203" s="472" t="s">
        <v>45</v>
      </c>
      <c r="Q203" s="485" t="s">
        <v>40</v>
      </c>
      <c r="R203" s="485" t="s">
        <v>40</v>
      </c>
      <c r="S203" s="488" t="s">
        <v>40</v>
      </c>
      <c r="T203" s="30" t="s">
        <v>40</v>
      </c>
      <c r="U203" s="343"/>
      <c r="V203" s="340"/>
      <c r="W203" s="340"/>
      <c r="X203" s="340"/>
      <c r="Y203" s="340"/>
    </row>
    <row r="204" spans="1:25" s="28" customFormat="1" ht="18" customHeight="1">
      <c r="A204" s="490"/>
      <c r="B204" s="490"/>
      <c r="C204" s="491"/>
      <c r="D204" s="481"/>
      <c r="E204" s="481"/>
      <c r="F204" s="482"/>
      <c r="G204" s="415"/>
      <c r="H204" s="469"/>
      <c r="I204" s="111">
        <v>2</v>
      </c>
      <c r="J204" s="35" t="s">
        <v>404</v>
      </c>
      <c r="K204" s="468"/>
      <c r="L204" s="468"/>
      <c r="M204" s="468"/>
      <c r="N204" s="472"/>
      <c r="O204" s="336"/>
      <c r="P204" s="472"/>
      <c r="Q204" s="485"/>
      <c r="R204" s="485"/>
      <c r="S204" s="488"/>
      <c r="T204" s="30" t="s">
        <v>40</v>
      </c>
      <c r="U204" s="343"/>
      <c r="V204" s="341"/>
      <c r="W204" s="341"/>
      <c r="X204" s="341"/>
      <c r="Y204" s="341"/>
    </row>
    <row r="205" spans="1:25" s="28" customFormat="1" ht="18" customHeight="1">
      <c r="A205" s="490"/>
      <c r="B205" s="490"/>
      <c r="C205" s="491"/>
      <c r="D205" s="481"/>
      <c r="E205" s="481"/>
      <c r="F205" s="482"/>
      <c r="G205" s="415"/>
      <c r="H205" s="469"/>
      <c r="I205" s="111">
        <v>3</v>
      </c>
      <c r="J205" s="35" t="s">
        <v>405</v>
      </c>
      <c r="K205" s="468"/>
      <c r="L205" s="468"/>
      <c r="M205" s="468"/>
      <c r="N205" s="472"/>
      <c r="O205" s="336"/>
      <c r="P205" s="472"/>
      <c r="Q205" s="485"/>
      <c r="R205" s="485"/>
      <c r="S205" s="488"/>
      <c r="T205" s="30" t="s">
        <v>40</v>
      </c>
      <c r="U205" s="343"/>
      <c r="V205" s="341"/>
      <c r="W205" s="341"/>
      <c r="X205" s="341"/>
      <c r="Y205" s="341"/>
    </row>
    <row r="206" spans="1:25" s="28" customFormat="1" ht="18" customHeight="1">
      <c r="A206" s="490"/>
      <c r="B206" s="490"/>
      <c r="C206" s="491"/>
      <c r="D206" s="481"/>
      <c r="E206" s="481"/>
      <c r="F206" s="482"/>
      <c r="G206" s="415"/>
      <c r="H206" s="469"/>
      <c r="I206" s="111">
        <v>4</v>
      </c>
      <c r="J206" s="35" t="s">
        <v>406</v>
      </c>
      <c r="K206" s="468"/>
      <c r="L206" s="468"/>
      <c r="M206" s="468"/>
      <c r="N206" s="472"/>
      <c r="O206" s="336"/>
      <c r="P206" s="472"/>
      <c r="Q206" s="485"/>
      <c r="R206" s="485"/>
      <c r="S206" s="488"/>
      <c r="T206" s="30"/>
      <c r="U206" s="343"/>
      <c r="V206" s="341"/>
      <c r="W206" s="341"/>
      <c r="X206" s="341"/>
      <c r="Y206" s="341"/>
    </row>
    <row r="207" spans="1:25" s="28" customFormat="1" ht="18" customHeight="1">
      <c r="A207" s="490"/>
      <c r="B207" s="490"/>
      <c r="C207" s="491"/>
      <c r="D207" s="481"/>
      <c r="E207" s="481"/>
      <c r="F207" s="482"/>
      <c r="G207" s="415"/>
      <c r="H207" s="469"/>
      <c r="I207" s="104">
        <v>77</v>
      </c>
      <c r="J207" s="16" t="s">
        <v>155</v>
      </c>
      <c r="K207" s="468"/>
      <c r="L207" s="468"/>
      <c r="M207" s="468"/>
      <c r="N207" s="473"/>
      <c r="O207" s="337"/>
      <c r="P207" s="473"/>
      <c r="Q207" s="486"/>
      <c r="R207" s="486"/>
      <c r="S207" s="489"/>
      <c r="T207" s="30" t="s">
        <v>40</v>
      </c>
      <c r="U207" s="343"/>
      <c r="V207" s="342"/>
      <c r="W207" s="342"/>
      <c r="X207" s="342"/>
      <c r="Y207" s="342"/>
    </row>
    <row r="208" spans="1:25" s="28" customFormat="1" ht="18" customHeight="1">
      <c r="A208" s="254" t="s">
        <v>407</v>
      </c>
      <c r="B208" s="254" t="s">
        <v>408</v>
      </c>
      <c r="C208" s="431" t="s">
        <v>146</v>
      </c>
      <c r="D208" s="353">
        <v>19</v>
      </c>
      <c r="E208" s="353" t="s">
        <v>409</v>
      </c>
      <c r="F208" s="254" t="s">
        <v>165</v>
      </c>
      <c r="G208" s="254" t="s">
        <v>410</v>
      </c>
      <c r="H208" s="270"/>
      <c r="I208" s="106">
        <v>1</v>
      </c>
      <c r="J208" s="49" t="s">
        <v>119</v>
      </c>
      <c r="K208" s="365" t="s">
        <v>65</v>
      </c>
      <c r="L208" s="365">
        <v>1</v>
      </c>
      <c r="M208" s="365" t="s">
        <v>40</v>
      </c>
      <c r="N208" s="476" t="s">
        <v>50</v>
      </c>
      <c r="O208" s="220" t="s">
        <v>51</v>
      </c>
      <c r="P208" s="477" t="s">
        <v>45</v>
      </c>
      <c r="Q208" s="577" t="s">
        <v>40</v>
      </c>
      <c r="R208" s="577" t="s">
        <v>40</v>
      </c>
      <c r="S208" s="315" t="s">
        <v>40</v>
      </c>
      <c r="T208" s="275" t="s">
        <v>40</v>
      </c>
      <c r="U208" s="91"/>
      <c r="V208" s="275" t="s">
        <v>40</v>
      </c>
      <c r="W208" s="275" t="s">
        <v>40</v>
      </c>
      <c r="X208" s="275" t="s">
        <v>40</v>
      </c>
      <c r="Y208" s="275" t="s">
        <v>40</v>
      </c>
    </row>
    <row r="209" spans="1:25" s="28" customFormat="1" ht="18" customHeight="1">
      <c r="A209" s="254"/>
      <c r="B209" s="254"/>
      <c r="C209" s="431"/>
      <c r="D209" s="353"/>
      <c r="E209" s="353"/>
      <c r="F209" s="254"/>
      <c r="G209" s="254"/>
      <c r="H209" s="270"/>
      <c r="I209" s="106">
        <v>2</v>
      </c>
      <c r="J209" s="49" t="s">
        <v>135</v>
      </c>
      <c r="K209" s="365"/>
      <c r="L209" s="365"/>
      <c r="M209" s="365"/>
      <c r="N209" s="477"/>
      <c r="O209" s="221"/>
      <c r="P209" s="477"/>
      <c r="Q209" s="577"/>
      <c r="R209" s="577"/>
      <c r="S209" s="315"/>
      <c r="T209" s="276"/>
      <c r="U209" s="91"/>
      <c r="V209" s="276"/>
      <c r="W209" s="276"/>
      <c r="X209" s="276"/>
      <c r="Y209" s="276"/>
    </row>
    <row r="210" spans="1:25" ht="18" customHeight="1">
      <c r="A210" s="223" t="s">
        <v>411</v>
      </c>
      <c r="B210" s="223" t="s">
        <v>412</v>
      </c>
      <c r="C210" s="223" t="s">
        <v>158</v>
      </c>
      <c r="D210" s="224">
        <v>19</v>
      </c>
      <c r="E210" s="224" t="s">
        <v>413</v>
      </c>
      <c r="F210" s="269" t="s">
        <v>165</v>
      </c>
      <c r="G210" s="263" t="s">
        <v>414</v>
      </c>
      <c r="H210" s="480" t="s">
        <v>150</v>
      </c>
      <c r="I210" s="107">
        <v>1</v>
      </c>
      <c r="J210" s="51" t="s">
        <v>151</v>
      </c>
      <c r="K210" s="247" t="s">
        <v>46</v>
      </c>
      <c r="L210" s="247">
        <v>1</v>
      </c>
      <c r="M210" s="247"/>
      <c r="N210" s="328" t="s">
        <v>50</v>
      </c>
      <c r="O210" s="235" t="s">
        <v>51</v>
      </c>
      <c r="P210" s="235" t="s">
        <v>45</v>
      </c>
      <c r="Q210" s="225"/>
      <c r="R210" s="225"/>
      <c r="S210" s="278"/>
      <c r="T210" s="278"/>
      <c r="U210" s="278"/>
      <c r="V210" s="278"/>
      <c r="W210" s="278"/>
      <c r="X210" s="278"/>
      <c r="Y210" s="278"/>
    </row>
    <row r="211" spans="1:25" ht="18" customHeight="1">
      <c r="A211" s="223"/>
      <c r="B211" s="223"/>
      <c r="C211" s="223"/>
      <c r="D211" s="224"/>
      <c r="E211" s="224"/>
      <c r="F211" s="269"/>
      <c r="G211" s="263"/>
      <c r="H211" s="480"/>
      <c r="I211" s="107">
        <v>2</v>
      </c>
      <c r="J211" s="51" t="s">
        <v>152</v>
      </c>
      <c r="K211" s="247"/>
      <c r="L211" s="247"/>
      <c r="M211" s="247"/>
      <c r="N211" s="329"/>
      <c r="O211" s="236"/>
      <c r="P211" s="236"/>
      <c r="Q211" s="226"/>
      <c r="R211" s="226"/>
      <c r="S211" s="279"/>
      <c r="T211" s="279"/>
      <c r="U211" s="279"/>
      <c r="V211" s="279"/>
      <c r="W211" s="279"/>
      <c r="X211" s="279"/>
      <c r="Y211" s="279"/>
    </row>
    <row r="212" spans="1:25" ht="18" customHeight="1">
      <c r="A212" s="223"/>
      <c r="B212" s="223"/>
      <c r="C212" s="223"/>
      <c r="D212" s="224"/>
      <c r="E212" s="224"/>
      <c r="F212" s="269"/>
      <c r="G212" s="263"/>
      <c r="H212" s="480"/>
      <c r="I212" s="107">
        <v>3</v>
      </c>
      <c r="J212" s="51" t="s">
        <v>153</v>
      </c>
      <c r="K212" s="247"/>
      <c r="L212" s="247"/>
      <c r="M212" s="247"/>
      <c r="N212" s="329"/>
      <c r="O212" s="236"/>
      <c r="P212" s="236"/>
      <c r="Q212" s="226"/>
      <c r="R212" s="226"/>
      <c r="S212" s="279"/>
      <c r="T212" s="279"/>
      <c r="U212" s="279"/>
      <c r="V212" s="279"/>
      <c r="W212" s="279"/>
      <c r="X212" s="279"/>
      <c r="Y212" s="279"/>
    </row>
    <row r="213" spans="1:25" ht="18" customHeight="1">
      <c r="A213" s="223"/>
      <c r="B213" s="223"/>
      <c r="C213" s="223"/>
      <c r="D213" s="224"/>
      <c r="E213" s="224"/>
      <c r="F213" s="269"/>
      <c r="G213" s="263"/>
      <c r="H213" s="480"/>
      <c r="I213" s="107">
        <v>4</v>
      </c>
      <c r="J213" s="51" t="s">
        <v>154</v>
      </c>
      <c r="K213" s="247"/>
      <c r="L213" s="247"/>
      <c r="M213" s="247"/>
      <c r="N213" s="330"/>
      <c r="O213" s="237"/>
      <c r="P213" s="237"/>
      <c r="Q213" s="227"/>
      <c r="R213" s="227"/>
      <c r="S213" s="280"/>
      <c r="T213" s="280"/>
      <c r="U213" s="280"/>
      <c r="V213" s="280"/>
      <c r="W213" s="280"/>
      <c r="X213" s="280"/>
      <c r="Y213" s="280"/>
    </row>
    <row r="214" spans="1:25" ht="18" customHeight="1">
      <c r="A214" s="263" t="s">
        <v>415</v>
      </c>
      <c r="B214" s="263" t="s">
        <v>416</v>
      </c>
      <c r="C214" s="401" t="s">
        <v>158</v>
      </c>
      <c r="D214" s="479">
        <v>19</v>
      </c>
      <c r="E214" s="479" t="s">
        <v>417</v>
      </c>
      <c r="F214" s="263" t="s">
        <v>371</v>
      </c>
      <c r="G214" s="254" t="s">
        <v>418</v>
      </c>
      <c r="H214" s="270" t="s">
        <v>373</v>
      </c>
      <c r="I214" s="100">
        <v>1</v>
      </c>
      <c r="J214" s="15" t="s">
        <v>419</v>
      </c>
      <c r="K214" s="271" t="s">
        <v>46</v>
      </c>
      <c r="L214" s="271">
        <v>1</v>
      </c>
      <c r="M214" s="271" t="s">
        <v>40</v>
      </c>
      <c r="N214" s="509" t="s">
        <v>50</v>
      </c>
      <c r="O214" s="216" t="s">
        <v>51</v>
      </c>
      <c r="P214" s="509" t="s">
        <v>45</v>
      </c>
      <c r="Q214" s="492"/>
      <c r="R214" s="492"/>
      <c r="S214" s="320" t="s">
        <v>40</v>
      </c>
      <c r="T214" s="275" t="s">
        <v>40</v>
      </c>
      <c r="U214" s="275" t="s">
        <v>40</v>
      </c>
      <c r="V214" s="275" t="s">
        <v>40</v>
      </c>
      <c r="W214" s="275" t="s">
        <v>40</v>
      </c>
      <c r="X214" s="275" t="s">
        <v>40</v>
      </c>
      <c r="Y214" s="275" t="s">
        <v>40</v>
      </c>
    </row>
    <row r="215" spans="1:25" ht="18" customHeight="1">
      <c r="A215" s="263"/>
      <c r="B215" s="263"/>
      <c r="C215" s="401"/>
      <c r="D215" s="479"/>
      <c r="E215" s="479"/>
      <c r="F215" s="263"/>
      <c r="G215" s="254"/>
      <c r="H215" s="270"/>
      <c r="I215" s="100">
        <v>2</v>
      </c>
      <c r="J215" s="15" t="s">
        <v>237</v>
      </c>
      <c r="K215" s="271"/>
      <c r="L215" s="271"/>
      <c r="M215" s="271"/>
      <c r="N215" s="510"/>
      <c r="O215" s="326"/>
      <c r="P215" s="510"/>
      <c r="Q215" s="493"/>
      <c r="R215" s="493"/>
      <c r="S215" s="321"/>
      <c r="T215" s="276"/>
      <c r="U215" s="276"/>
      <c r="V215" s="276"/>
      <c r="W215" s="276"/>
      <c r="X215" s="276"/>
      <c r="Y215" s="276"/>
    </row>
    <row r="216" spans="1:25" ht="18" customHeight="1">
      <c r="A216" s="263"/>
      <c r="B216" s="263"/>
      <c r="C216" s="401"/>
      <c r="D216" s="479"/>
      <c r="E216" s="479"/>
      <c r="F216" s="263"/>
      <c r="G216" s="254"/>
      <c r="H216" s="270"/>
      <c r="I216" s="100">
        <v>3</v>
      </c>
      <c r="J216" s="15" t="s">
        <v>420</v>
      </c>
      <c r="K216" s="271"/>
      <c r="L216" s="271"/>
      <c r="M216" s="271"/>
      <c r="N216" s="510"/>
      <c r="O216" s="326"/>
      <c r="P216" s="510"/>
      <c r="Q216" s="493"/>
      <c r="R216" s="493"/>
      <c r="S216" s="321"/>
      <c r="T216" s="276"/>
      <c r="U216" s="276"/>
      <c r="V216" s="276"/>
      <c r="W216" s="276"/>
      <c r="X216" s="276"/>
      <c r="Y216" s="276"/>
    </row>
    <row r="217" spans="1:25" ht="18" customHeight="1">
      <c r="A217" s="263"/>
      <c r="B217" s="263"/>
      <c r="C217" s="401"/>
      <c r="D217" s="479"/>
      <c r="E217" s="479"/>
      <c r="F217" s="263"/>
      <c r="G217" s="254"/>
      <c r="H217" s="270"/>
      <c r="I217" s="100">
        <v>4</v>
      </c>
      <c r="J217" s="15" t="s">
        <v>421</v>
      </c>
      <c r="K217" s="271"/>
      <c r="L217" s="271"/>
      <c r="M217" s="271"/>
      <c r="N217" s="510"/>
      <c r="O217" s="326"/>
      <c r="P217" s="510"/>
      <c r="Q217" s="493"/>
      <c r="R217" s="493"/>
      <c r="S217" s="321"/>
      <c r="T217" s="276"/>
      <c r="U217" s="276"/>
      <c r="V217" s="276"/>
      <c r="W217" s="276"/>
      <c r="X217" s="276"/>
      <c r="Y217" s="276"/>
    </row>
    <row r="218" spans="1:25" ht="18" customHeight="1">
      <c r="A218" s="263"/>
      <c r="B218" s="263"/>
      <c r="C218" s="401"/>
      <c r="D218" s="479"/>
      <c r="E218" s="479"/>
      <c r="F218" s="263"/>
      <c r="G218" s="254"/>
      <c r="H218" s="270"/>
      <c r="I218" s="100">
        <v>5</v>
      </c>
      <c r="J218" s="15" t="s">
        <v>422</v>
      </c>
      <c r="K218" s="271"/>
      <c r="L218" s="271"/>
      <c r="M218" s="271"/>
      <c r="N218" s="510"/>
      <c r="O218" s="326"/>
      <c r="P218" s="510"/>
      <c r="Q218" s="493"/>
      <c r="R218" s="493"/>
      <c r="S218" s="321"/>
      <c r="T218" s="276"/>
      <c r="U218" s="276"/>
      <c r="V218" s="276"/>
      <c r="W218" s="276"/>
      <c r="X218" s="276"/>
      <c r="Y218" s="276"/>
    </row>
    <row r="219" spans="1:25" ht="18" customHeight="1">
      <c r="A219" s="263"/>
      <c r="B219" s="263"/>
      <c r="C219" s="401"/>
      <c r="D219" s="479"/>
      <c r="E219" s="479"/>
      <c r="F219" s="263"/>
      <c r="G219" s="254"/>
      <c r="H219" s="270"/>
      <c r="I219" s="100">
        <v>6</v>
      </c>
      <c r="J219" s="15" t="s">
        <v>423</v>
      </c>
      <c r="K219" s="271"/>
      <c r="L219" s="271"/>
      <c r="M219" s="271"/>
      <c r="N219" s="510"/>
      <c r="O219" s="326"/>
      <c r="P219" s="510"/>
      <c r="Q219" s="493"/>
      <c r="R219" s="493"/>
      <c r="S219" s="321"/>
      <c r="T219" s="276"/>
      <c r="U219" s="276"/>
      <c r="V219" s="276"/>
      <c r="W219" s="276"/>
      <c r="X219" s="276"/>
      <c r="Y219" s="276"/>
    </row>
    <row r="220" spans="1:25" ht="18" customHeight="1">
      <c r="A220" s="263"/>
      <c r="B220" s="263"/>
      <c r="C220" s="401"/>
      <c r="D220" s="479"/>
      <c r="E220" s="479"/>
      <c r="F220" s="263"/>
      <c r="G220" s="254"/>
      <c r="H220" s="270"/>
      <c r="I220" s="100">
        <v>7</v>
      </c>
      <c r="J220" s="15" t="s">
        <v>242</v>
      </c>
      <c r="K220" s="271"/>
      <c r="L220" s="271"/>
      <c r="M220" s="271"/>
      <c r="N220" s="510"/>
      <c r="O220" s="326"/>
      <c r="P220" s="510"/>
      <c r="Q220" s="493"/>
      <c r="R220" s="493"/>
      <c r="S220" s="321"/>
      <c r="T220" s="276"/>
      <c r="U220" s="276"/>
      <c r="V220" s="276"/>
      <c r="W220" s="276"/>
      <c r="X220" s="276"/>
      <c r="Y220" s="276"/>
    </row>
    <row r="221" spans="1:25" ht="18" customHeight="1">
      <c r="A221" s="263"/>
      <c r="B221" s="263"/>
      <c r="C221" s="401"/>
      <c r="D221" s="479"/>
      <c r="E221" s="479"/>
      <c r="F221" s="263"/>
      <c r="G221" s="254"/>
      <c r="H221" s="270"/>
      <c r="I221" s="100">
        <v>77</v>
      </c>
      <c r="J221" s="15" t="s">
        <v>243</v>
      </c>
      <c r="K221" s="271"/>
      <c r="L221" s="271"/>
      <c r="M221" s="271"/>
      <c r="N221" s="511"/>
      <c r="O221" s="217"/>
      <c r="P221" s="512"/>
      <c r="Q221" s="494"/>
      <c r="R221" s="494"/>
      <c r="S221" s="327"/>
      <c r="T221" s="277"/>
      <c r="U221" s="277"/>
      <c r="V221" s="277"/>
      <c r="W221" s="277"/>
      <c r="X221" s="277"/>
      <c r="Y221" s="277"/>
    </row>
    <row r="222" spans="1:25" ht="46.5">
      <c r="A222" s="49" t="s">
        <v>40</v>
      </c>
      <c r="B222" s="49" t="s">
        <v>40</v>
      </c>
      <c r="C222" s="61" t="s">
        <v>40</v>
      </c>
      <c r="D222" s="150">
        <v>20</v>
      </c>
      <c r="E222" s="150" t="s">
        <v>424</v>
      </c>
      <c r="F222" s="49" t="s">
        <v>40</v>
      </c>
      <c r="G222" s="15" t="s">
        <v>425</v>
      </c>
      <c r="H222" s="75" t="s">
        <v>40</v>
      </c>
      <c r="I222" s="100" t="s">
        <v>40</v>
      </c>
      <c r="J222" s="15" t="s">
        <v>40</v>
      </c>
      <c r="K222" s="106" t="s">
        <v>46</v>
      </c>
      <c r="L222" s="106">
        <v>1</v>
      </c>
      <c r="M222" s="106" t="s">
        <v>40</v>
      </c>
      <c r="N222" s="177" t="s">
        <v>44</v>
      </c>
      <c r="O222" s="177" t="s">
        <v>40</v>
      </c>
      <c r="P222" s="177" t="s">
        <v>45</v>
      </c>
      <c r="Q222" s="190" t="s">
        <v>40</v>
      </c>
      <c r="R222" s="191" t="s">
        <v>40</v>
      </c>
      <c r="S222" s="22" t="s">
        <v>40</v>
      </c>
      <c r="T222" s="21" t="s">
        <v>40</v>
      </c>
      <c r="U222" s="21" t="s">
        <v>40</v>
      </c>
      <c r="V222" s="21" t="s">
        <v>40</v>
      </c>
      <c r="W222" s="21" t="s">
        <v>40</v>
      </c>
      <c r="X222" s="21" t="s">
        <v>40</v>
      </c>
      <c r="Y222" s="21" t="s">
        <v>40</v>
      </c>
    </row>
    <row r="223" spans="1:25" ht="31">
      <c r="A223" s="223" t="s">
        <v>426</v>
      </c>
      <c r="B223" s="223" t="s">
        <v>427</v>
      </c>
      <c r="C223" s="223">
        <v>2</v>
      </c>
      <c r="D223" s="224">
        <v>20</v>
      </c>
      <c r="E223" s="224" t="s">
        <v>428</v>
      </c>
      <c r="F223" s="269" t="s">
        <v>165</v>
      </c>
      <c r="G223" s="580" t="s">
        <v>429</v>
      </c>
      <c r="H223" s="581" t="s">
        <v>295</v>
      </c>
      <c r="I223" s="110">
        <v>1</v>
      </c>
      <c r="J223" s="33" t="s">
        <v>202</v>
      </c>
      <c r="K223" s="247" t="s">
        <v>46</v>
      </c>
      <c r="L223" s="247">
        <v>1</v>
      </c>
      <c r="M223" s="247"/>
      <c r="N223" s="328" t="s">
        <v>161</v>
      </c>
      <c r="O223" s="328" t="s">
        <v>51</v>
      </c>
      <c r="P223" s="328" t="s">
        <v>430</v>
      </c>
      <c r="Q223" s="578"/>
      <c r="R223" s="578"/>
      <c r="S223" s="281"/>
      <c r="T223" s="281"/>
      <c r="U223" s="281"/>
      <c r="V223" s="281"/>
      <c r="W223" s="281"/>
      <c r="X223" s="281"/>
      <c r="Y223" s="281"/>
    </row>
    <row r="224" spans="1:25" ht="31">
      <c r="A224" s="223"/>
      <c r="B224" s="223"/>
      <c r="C224" s="223"/>
      <c r="D224" s="224"/>
      <c r="E224" s="224"/>
      <c r="F224" s="269"/>
      <c r="G224" s="580"/>
      <c r="H224" s="581"/>
      <c r="I224" s="110">
        <v>2</v>
      </c>
      <c r="J224" s="33" t="s">
        <v>203</v>
      </c>
      <c r="K224" s="247"/>
      <c r="L224" s="247"/>
      <c r="M224" s="247"/>
      <c r="N224" s="329"/>
      <c r="O224" s="329"/>
      <c r="P224" s="329"/>
      <c r="Q224" s="579"/>
      <c r="R224" s="579"/>
      <c r="S224" s="282"/>
      <c r="T224" s="282"/>
      <c r="U224" s="282"/>
      <c r="V224" s="282"/>
      <c r="W224" s="282"/>
      <c r="X224" s="282"/>
      <c r="Y224" s="282"/>
    </row>
    <row r="225" spans="1:25" ht="31">
      <c r="A225" s="223"/>
      <c r="B225" s="223"/>
      <c r="C225" s="223"/>
      <c r="D225" s="224"/>
      <c r="E225" s="224"/>
      <c r="F225" s="269"/>
      <c r="G225" s="580"/>
      <c r="H225" s="581"/>
      <c r="I225" s="110">
        <v>3</v>
      </c>
      <c r="J225" s="33" t="s">
        <v>431</v>
      </c>
      <c r="K225" s="247"/>
      <c r="L225" s="247"/>
      <c r="M225" s="247"/>
      <c r="N225" s="329"/>
      <c r="O225" s="329"/>
      <c r="P225" s="329"/>
      <c r="Q225" s="579"/>
      <c r="R225" s="579"/>
      <c r="S225" s="282"/>
      <c r="T225" s="282"/>
      <c r="U225" s="282"/>
      <c r="V225" s="282"/>
      <c r="W225" s="282"/>
      <c r="X225" s="282"/>
      <c r="Y225" s="282"/>
    </row>
    <row r="226" spans="1:25" ht="15.5">
      <c r="A226" s="223"/>
      <c r="B226" s="223"/>
      <c r="C226" s="223"/>
      <c r="D226" s="224"/>
      <c r="E226" s="224"/>
      <c r="F226" s="269"/>
      <c r="G226" s="580"/>
      <c r="H226" s="581"/>
      <c r="I226" s="110">
        <v>4</v>
      </c>
      <c r="J226" s="33" t="s">
        <v>196</v>
      </c>
      <c r="K226" s="247"/>
      <c r="L226" s="247"/>
      <c r="M226" s="247"/>
      <c r="N226" s="329"/>
      <c r="O226" s="329"/>
      <c r="P226" s="329"/>
      <c r="Q226" s="579"/>
      <c r="R226" s="579"/>
      <c r="S226" s="282"/>
      <c r="T226" s="282"/>
      <c r="U226" s="282"/>
      <c r="V226" s="282"/>
      <c r="W226" s="282"/>
      <c r="X226" s="282"/>
      <c r="Y226" s="282"/>
    </row>
    <row r="227" spans="1:25" ht="20.25" customHeight="1">
      <c r="A227" s="223"/>
      <c r="B227" s="223"/>
      <c r="C227" s="223"/>
      <c r="D227" s="224"/>
      <c r="E227" s="224"/>
      <c r="F227" s="269"/>
      <c r="G227" s="580"/>
      <c r="H227" s="581"/>
      <c r="I227" s="110">
        <v>5</v>
      </c>
      <c r="J227" s="33" t="s">
        <v>197</v>
      </c>
      <c r="K227" s="247"/>
      <c r="L227" s="247"/>
      <c r="M227" s="247"/>
      <c r="N227" s="329"/>
      <c r="O227" s="329"/>
      <c r="P227" s="329"/>
      <c r="Q227" s="579"/>
      <c r="R227" s="579"/>
      <c r="S227" s="282"/>
      <c r="T227" s="282"/>
      <c r="U227" s="282"/>
      <c r="V227" s="282"/>
      <c r="W227" s="282"/>
      <c r="X227" s="282"/>
      <c r="Y227" s="282"/>
    </row>
    <row r="228" spans="1:25" ht="36.75" customHeight="1">
      <c r="A228" s="223"/>
      <c r="B228" s="223"/>
      <c r="C228" s="223"/>
      <c r="D228" s="224"/>
      <c r="E228" s="224"/>
      <c r="F228" s="269"/>
      <c r="G228" s="580"/>
      <c r="H228" s="581"/>
      <c r="I228" s="110">
        <v>6</v>
      </c>
      <c r="J228" s="33" t="s">
        <v>198</v>
      </c>
      <c r="K228" s="247"/>
      <c r="L228" s="247"/>
      <c r="M228" s="247"/>
      <c r="N228" s="329"/>
      <c r="O228" s="329"/>
      <c r="P228" s="329"/>
      <c r="Q228" s="579"/>
      <c r="R228" s="579"/>
      <c r="S228" s="282"/>
      <c r="T228" s="282"/>
      <c r="U228" s="282"/>
      <c r="V228" s="282"/>
      <c r="W228" s="282"/>
      <c r="X228" s="282"/>
      <c r="Y228" s="282"/>
    </row>
    <row r="229" spans="1:25" ht="18" customHeight="1">
      <c r="A229" s="223"/>
      <c r="B229" s="223"/>
      <c r="C229" s="223"/>
      <c r="D229" s="224"/>
      <c r="E229" s="224"/>
      <c r="F229" s="269"/>
      <c r="G229" s="580"/>
      <c r="H229" s="581"/>
      <c r="I229" s="110">
        <v>7</v>
      </c>
      <c r="J229" s="33" t="s">
        <v>199</v>
      </c>
      <c r="K229" s="247"/>
      <c r="L229" s="247"/>
      <c r="M229" s="247"/>
      <c r="N229" s="329"/>
      <c r="O229" s="329"/>
      <c r="P229" s="329"/>
      <c r="Q229" s="579"/>
      <c r="R229" s="579"/>
      <c r="S229" s="282"/>
      <c r="T229" s="282"/>
      <c r="U229" s="282"/>
      <c r="V229" s="282"/>
      <c r="W229" s="282"/>
      <c r="X229" s="282"/>
      <c r="Y229" s="282"/>
    </row>
    <row r="230" spans="1:25" ht="20.25" customHeight="1">
      <c r="A230" s="223"/>
      <c r="B230" s="223"/>
      <c r="C230" s="223"/>
      <c r="D230" s="224"/>
      <c r="E230" s="224"/>
      <c r="F230" s="269"/>
      <c r="G230" s="580"/>
      <c r="H230" s="581"/>
      <c r="I230" s="110">
        <v>77</v>
      </c>
      <c r="J230" s="65" t="s">
        <v>155</v>
      </c>
      <c r="K230" s="247"/>
      <c r="L230" s="247"/>
      <c r="M230" s="247"/>
      <c r="N230" s="329"/>
      <c r="O230" s="329"/>
      <c r="P230" s="329"/>
      <c r="Q230" s="579"/>
      <c r="R230" s="579"/>
      <c r="S230" s="282"/>
      <c r="T230" s="282"/>
      <c r="U230" s="282"/>
      <c r="V230" s="282"/>
      <c r="W230" s="282"/>
      <c r="X230" s="282"/>
      <c r="Y230" s="282"/>
    </row>
    <row r="231" spans="1:25" ht="19.5" customHeight="1">
      <c r="A231" s="223" t="s">
        <v>432</v>
      </c>
      <c r="B231" s="223" t="s">
        <v>433</v>
      </c>
      <c r="C231" s="223" t="s">
        <v>434</v>
      </c>
      <c r="D231" s="224">
        <v>20</v>
      </c>
      <c r="E231" s="224" t="s">
        <v>435</v>
      </c>
      <c r="F231" s="269" t="s">
        <v>165</v>
      </c>
      <c r="G231" s="223" t="s">
        <v>436</v>
      </c>
      <c r="H231" s="480"/>
      <c r="I231" s="100">
        <v>1</v>
      </c>
      <c r="J231" s="15" t="s">
        <v>437</v>
      </c>
      <c r="K231" s="247" t="s">
        <v>46</v>
      </c>
      <c r="L231" s="247">
        <v>1</v>
      </c>
      <c r="M231" s="247"/>
      <c r="N231" s="328" t="s">
        <v>50</v>
      </c>
      <c r="O231" s="456" t="s">
        <v>51</v>
      </c>
      <c r="P231" s="456" t="s">
        <v>45</v>
      </c>
      <c r="Q231" s="295"/>
      <c r="R231" s="295"/>
      <c r="S231" s="241"/>
      <c r="T231" s="241"/>
      <c r="U231" s="241"/>
      <c r="V231" s="241"/>
      <c r="W231" s="241"/>
      <c r="X231" s="241"/>
      <c r="Y231" s="241"/>
    </row>
    <row r="232" spans="1:25" ht="20.25" customHeight="1">
      <c r="A232" s="223"/>
      <c r="B232" s="223"/>
      <c r="C232" s="223"/>
      <c r="D232" s="224"/>
      <c r="E232" s="224"/>
      <c r="F232" s="269"/>
      <c r="G232" s="223"/>
      <c r="H232" s="480"/>
      <c r="I232" s="100">
        <v>2</v>
      </c>
      <c r="J232" s="15" t="s">
        <v>438</v>
      </c>
      <c r="K232" s="247"/>
      <c r="L232" s="247"/>
      <c r="M232" s="247"/>
      <c r="N232" s="329"/>
      <c r="O232" s="457"/>
      <c r="P232" s="457"/>
      <c r="Q232" s="296"/>
      <c r="R232" s="296"/>
      <c r="S232" s="242"/>
      <c r="T232" s="242"/>
      <c r="U232" s="242"/>
      <c r="V232" s="242"/>
      <c r="W232" s="242"/>
      <c r="X232" s="242"/>
      <c r="Y232" s="242"/>
    </row>
    <row r="233" spans="1:25" ht="20.25" customHeight="1">
      <c r="A233" s="223"/>
      <c r="B233" s="223"/>
      <c r="C233" s="223"/>
      <c r="D233" s="224"/>
      <c r="E233" s="224"/>
      <c r="F233" s="269"/>
      <c r="G233" s="223"/>
      <c r="H233" s="480"/>
      <c r="I233" s="100">
        <v>3</v>
      </c>
      <c r="J233" s="15" t="s">
        <v>439</v>
      </c>
      <c r="K233" s="247"/>
      <c r="L233" s="247"/>
      <c r="M233" s="247"/>
      <c r="N233" s="329"/>
      <c r="O233" s="457"/>
      <c r="P233" s="457"/>
      <c r="Q233" s="296"/>
      <c r="R233" s="296"/>
      <c r="S233" s="242"/>
      <c r="T233" s="242"/>
      <c r="U233" s="242"/>
      <c r="V233" s="242"/>
      <c r="W233" s="242"/>
      <c r="X233" s="242"/>
      <c r="Y233" s="242"/>
    </row>
    <row r="234" spans="1:25" ht="20.25" customHeight="1">
      <c r="A234" s="223"/>
      <c r="B234" s="223"/>
      <c r="C234" s="223"/>
      <c r="D234" s="224"/>
      <c r="E234" s="224"/>
      <c r="F234" s="269"/>
      <c r="G234" s="223"/>
      <c r="H234" s="480"/>
      <c r="I234" s="100">
        <v>77</v>
      </c>
      <c r="J234" s="15" t="s">
        <v>155</v>
      </c>
      <c r="K234" s="247"/>
      <c r="L234" s="247"/>
      <c r="M234" s="247"/>
      <c r="N234" s="330"/>
      <c r="O234" s="458"/>
      <c r="P234" s="458"/>
      <c r="Q234" s="297"/>
      <c r="R234" s="297"/>
      <c r="S234" s="243"/>
      <c r="T234" s="243"/>
      <c r="U234" s="243"/>
      <c r="V234" s="243"/>
      <c r="W234" s="243"/>
      <c r="X234" s="243"/>
      <c r="Y234" s="243"/>
    </row>
    <row r="235" spans="1:25" ht="31">
      <c r="D235" s="170">
        <v>21</v>
      </c>
      <c r="E235" s="150" t="s">
        <v>440</v>
      </c>
      <c r="F235" s="49" t="s">
        <v>40</v>
      </c>
      <c r="G235" s="15" t="s">
        <v>441</v>
      </c>
      <c r="H235" s="86"/>
      <c r="I235" s="110"/>
      <c r="J235" s="33"/>
      <c r="K235" s="101" t="s">
        <v>46</v>
      </c>
      <c r="L235" s="101">
        <v>1</v>
      </c>
      <c r="N235" s="165" t="s">
        <v>44</v>
      </c>
      <c r="O235" s="165"/>
      <c r="P235" s="165"/>
      <c r="Q235" s="18"/>
      <c r="S235" s="43"/>
      <c r="T235" s="43"/>
      <c r="U235" s="43"/>
      <c r="V235" s="43"/>
      <c r="W235" s="43"/>
      <c r="X235" s="43"/>
      <c r="Y235" s="43"/>
    </row>
    <row r="236" spans="1:25" ht="18.75" customHeight="1">
      <c r="A236" s="263" t="s">
        <v>442</v>
      </c>
      <c r="B236" s="263" t="s">
        <v>443</v>
      </c>
      <c r="C236" s="401" t="s">
        <v>158</v>
      </c>
      <c r="D236" s="479">
        <v>21</v>
      </c>
      <c r="E236" s="479" t="s">
        <v>444</v>
      </c>
      <c r="F236" s="269" t="s">
        <v>165</v>
      </c>
      <c r="G236" s="254" t="s">
        <v>445</v>
      </c>
      <c r="H236" s="270" t="s">
        <v>40</v>
      </c>
      <c r="I236" s="100">
        <v>1</v>
      </c>
      <c r="J236" s="15" t="s">
        <v>151</v>
      </c>
      <c r="K236" s="271" t="s">
        <v>46</v>
      </c>
      <c r="L236" s="271">
        <v>1</v>
      </c>
      <c r="M236" s="271" t="s">
        <v>40</v>
      </c>
      <c r="N236" s="509" t="s">
        <v>50</v>
      </c>
      <c r="O236" s="216" t="s">
        <v>51</v>
      </c>
      <c r="P236" s="476" t="s">
        <v>45</v>
      </c>
      <c r="Q236" s="379" t="s">
        <v>40</v>
      </c>
      <c r="R236" s="379" t="s">
        <v>40</v>
      </c>
      <c r="S236" s="275" t="s">
        <v>40</v>
      </c>
      <c r="T236" s="275" t="s">
        <v>40</v>
      </c>
      <c r="U236" s="275" t="s">
        <v>40</v>
      </c>
      <c r="V236" s="275" t="s">
        <v>40</v>
      </c>
      <c r="W236" s="275" t="s">
        <v>40</v>
      </c>
      <c r="X236" s="275" t="s">
        <v>40</v>
      </c>
      <c r="Y236" s="275" t="s">
        <v>40</v>
      </c>
    </row>
    <row r="237" spans="1:25" ht="18.75" customHeight="1">
      <c r="A237" s="263"/>
      <c r="B237" s="263"/>
      <c r="C237" s="401"/>
      <c r="D237" s="479"/>
      <c r="E237" s="479"/>
      <c r="F237" s="269"/>
      <c r="G237" s="254"/>
      <c r="H237" s="270"/>
      <c r="I237" s="100">
        <v>2</v>
      </c>
      <c r="J237" s="15" t="s">
        <v>152</v>
      </c>
      <c r="K237" s="271"/>
      <c r="L237" s="271"/>
      <c r="M237" s="271"/>
      <c r="N237" s="510"/>
      <c r="O237" s="326"/>
      <c r="P237" s="477"/>
      <c r="Q237" s="380"/>
      <c r="R237" s="380"/>
      <c r="S237" s="276"/>
      <c r="T237" s="276"/>
      <c r="U237" s="276"/>
      <c r="V237" s="276"/>
      <c r="W237" s="276"/>
      <c r="X237" s="276"/>
      <c r="Y237" s="276"/>
    </row>
    <row r="238" spans="1:25" ht="18.75" customHeight="1">
      <c r="A238" s="263"/>
      <c r="B238" s="263"/>
      <c r="C238" s="401"/>
      <c r="D238" s="479"/>
      <c r="E238" s="479"/>
      <c r="F238" s="269"/>
      <c r="G238" s="254"/>
      <c r="H238" s="270"/>
      <c r="I238" s="100">
        <v>3</v>
      </c>
      <c r="J238" s="15" t="s">
        <v>153</v>
      </c>
      <c r="K238" s="271"/>
      <c r="L238" s="271"/>
      <c r="M238" s="271"/>
      <c r="N238" s="510"/>
      <c r="O238" s="326"/>
      <c r="P238" s="477"/>
      <c r="Q238" s="380"/>
      <c r="R238" s="380"/>
      <c r="S238" s="276"/>
      <c r="T238" s="276"/>
      <c r="U238" s="276"/>
      <c r="V238" s="276"/>
      <c r="W238" s="276"/>
      <c r="X238" s="276"/>
      <c r="Y238" s="276"/>
    </row>
    <row r="239" spans="1:25" ht="18.75" customHeight="1">
      <c r="A239" s="263"/>
      <c r="B239" s="263"/>
      <c r="C239" s="401"/>
      <c r="D239" s="479"/>
      <c r="E239" s="479"/>
      <c r="F239" s="269"/>
      <c r="G239" s="254"/>
      <c r="H239" s="270"/>
      <c r="I239" s="100">
        <v>4</v>
      </c>
      <c r="J239" s="15" t="s">
        <v>154</v>
      </c>
      <c r="K239" s="271"/>
      <c r="L239" s="271"/>
      <c r="M239" s="271"/>
      <c r="N239" s="511"/>
      <c r="O239" s="217"/>
      <c r="P239" s="478"/>
      <c r="Q239" s="381"/>
      <c r="R239" s="381"/>
      <c r="S239" s="277"/>
      <c r="T239" s="277"/>
      <c r="U239" s="277"/>
      <c r="V239" s="277"/>
      <c r="W239" s="277"/>
      <c r="X239" s="277"/>
      <c r="Y239" s="277"/>
    </row>
    <row r="240" spans="1:25" ht="18.75" customHeight="1">
      <c r="A240" s="263" t="s">
        <v>446</v>
      </c>
      <c r="B240" s="263" t="s">
        <v>447</v>
      </c>
      <c r="C240" s="401" t="s">
        <v>146</v>
      </c>
      <c r="D240" s="479">
        <v>21</v>
      </c>
      <c r="E240" s="479" t="s">
        <v>448</v>
      </c>
      <c r="F240" s="269" t="s">
        <v>165</v>
      </c>
      <c r="G240" s="254" t="s">
        <v>449</v>
      </c>
      <c r="H240" s="270" t="s">
        <v>40</v>
      </c>
      <c r="I240" s="100">
        <v>1</v>
      </c>
      <c r="J240" s="15" t="s">
        <v>151</v>
      </c>
      <c r="K240" s="271" t="s">
        <v>46</v>
      </c>
      <c r="L240" s="271">
        <v>1</v>
      </c>
      <c r="M240" s="271" t="s">
        <v>40</v>
      </c>
      <c r="N240" s="510" t="s">
        <v>50</v>
      </c>
      <c r="O240" s="326" t="s">
        <v>51</v>
      </c>
      <c r="P240" s="477" t="s">
        <v>45</v>
      </c>
      <c r="Q240" s="380" t="s">
        <v>40</v>
      </c>
      <c r="R240" s="380" t="s">
        <v>40</v>
      </c>
      <c r="S240" s="276" t="s">
        <v>40</v>
      </c>
      <c r="T240" s="276" t="s">
        <v>40</v>
      </c>
      <c r="U240" s="276" t="s">
        <v>40</v>
      </c>
      <c r="V240" s="276" t="s">
        <v>40</v>
      </c>
      <c r="W240" s="276" t="s">
        <v>40</v>
      </c>
      <c r="X240" s="276" t="s">
        <v>40</v>
      </c>
      <c r="Y240" s="276" t="s">
        <v>40</v>
      </c>
    </row>
    <row r="241" spans="1:25" ht="18.75" customHeight="1">
      <c r="A241" s="263"/>
      <c r="B241" s="263"/>
      <c r="C241" s="401"/>
      <c r="D241" s="479"/>
      <c r="E241" s="479"/>
      <c r="F241" s="269"/>
      <c r="G241" s="254"/>
      <c r="H241" s="270"/>
      <c r="I241" s="100">
        <v>2</v>
      </c>
      <c r="J241" s="15" t="s">
        <v>152</v>
      </c>
      <c r="K241" s="271"/>
      <c r="L241" s="271"/>
      <c r="M241" s="271"/>
      <c r="N241" s="510"/>
      <c r="O241" s="326"/>
      <c r="P241" s="477"/>
      <c r="Q241" s="380"/>
      <c r="R241" s="380"/>
      <c r="S241" s="276"/>
      <c r="T241" s="276"/>
      <c r="U241" s="276"/>
      <c r="V241" s="276"/>
      <c r="W241" s="276"/>
      <c r="X241" s="276"/>
      <c r="Y241" s="276"/>
    </row>
    <row r="242" spans="1:25" ht="18.75" customHeight="1">
      <c r="A242" s="263"/>
      <c r="B242" s="263"/>
      <c r="C242" s="401"/>
      <c r="D242" s="479"/>
      <c r="E242" s="479"/>
      <c r="F242" s="269"/>
      <c r="G242" s="254"/>
      <c r="H242" s="270"/>
      <c r="I242" s="100">
        <v>3</v>
      </c>
      <c r="J242" s="15" t="s">
        <v>153</v>
      </c>
      <c r="K242" s="271"/>
      <c r="L242" s="271"/>
      <c r="M242" s="271"/>
      <c r="N242" s="510"/>
      <c r="O242" s="326"/>
      <c r="P242" s="477"/>
      <c r="Q242" s="380"/>
      <c r="R242" s="380"/>
      <c r="S242" s="276"/>
      <c r="T242" s="276"/>
      <c r="U242" s="276"/>
      <c r="V242" s="276"/>
      <c r="W242" s="276"/>
      <c r="X242" s="276"/>
      <c r="Y242" s="276"/>
    </row>
    <row r="243" spans="1:25" ht="18.75" customHeight="1">
      <c r="A243" s="263"/>
      <c r="B243" s="263"/>
      <c r="C243" s="401"/>
      <c r="D243" s="479"/>
      <c r="E243" s="479"/>
      <c r="F243" s="269"/>
      <c r="G243" s="254"/>
      <c r="H243" s="270"/>
      <c r="I243" s="100">
        <v>4</v>
      </c>
      <c r="J243" s="15" t="s">
        <v>154</v>
      </c>
      <c r="K243" s="271"/>
      <c r="L243" s="271"/>
      <c r="M243" s="271"/>
      <c r="N243" s="511"/>
      <c r="O243" s="217"/>
      <c r="P243" s="478"/>
      <c r="Q243" s="381"/>
      <c r="R243" s="381"/>
      <c r="S243" s="277"/>
      <c r="T243" s="277"/>
      <c r="U243" s="277"/>
      <c r="V243" s="277"/>
      <c r="W243" s="277"/>
      <c r="X243" s="277"/>
      <c r="Y243" s="277"/>
    </row>
    <row r="244" spans="1:25" ht="18.75" customHeight="1">
      <c r="A244" s="263" t="s">
        <v>446</v>
      </c>
      <c r="B244" s="263" t="s">
        <v>447</v>
      </c>
      <c r="C244" s="401" t="s">
        <v>146</v>
      </c>
      <c r="D244" s="479">
        <v>22</v>
      </c>
      <c r="E244" s="479" t="s">
        <v>450</v>
      </c>
      <c r="F244" s="269" t="s">
        <v>165</v>
      </c>
      <c r="G244" s="263" t="s">
        <v>451</v>
      </c>
      <c r="H244" s="270" t="s">
        <v>40</v>
      </c>
      <c r="I244" s="100">
        <v>1</v>
      </c>
      <c r="J244" s="15" t="s">
        <v>151</v>
      </c>
      <c r="K244" s="271" t="s">
        <v>46</v>
      </c>
      <c r="L244" s="271">
        <v>1</v>
      </c>
      <c r="M244" s="271" t="s">
        <v>40</v>
      </c>
      <c r="N244" s="510" t="s">
        <v>50</v>
      </c>
      <c r="O244" s="326" t="s">
        <v>51</v>
      </c>
      <c r="P244" s="477" t="s">
        <v>45</v>
      </c>
      <c r="Q244" s="380" t="s">
        <v>40</v>
      </c>
      <c r="R244" s="380" t="s">
        <v>40</v>
      </c>
      <c r="S244" s="276" t="s">
        <v>40</v>
      </c>
      <c r="T244" s="276" t="s">
        <v>40</v>
      </c>
      <c r="U244" s="276" t="s">
        <v>40</v>
      </c>
      <c r="V244" s="276" t="s">
        <v>40</v>
      </c>
      <c r="W244" s="276" t="s">
        <v>40</v>
      </c>
      <c r="X244" s="276" t="s">
        <v>40</v>
      </c>
      <c r="Y244" s="276" t="s">
        <v>40</v>
      </c>
    </row>
    <row r="245" spans="1:25" ht="18.75" customHeight="1">
      <c r="A245" s="263"/>
      <c r="B245" s="263"/>
      <c r="C245" s="401"/>
      <c r="D245" s="479"/>
      <c r="E245" s="479"/>
      <c r="F245" s="269"/>
      <c r="G245" s="263"/>
      <c r="H245" s="270"/>
      <c r="I245" s="100">
        <v>2</v>
      </c>
      <c r="J245" s="15" t="s">
        <v>152</v>
      </c>
      <c r="K245" s="271"/>
      <c r="L245" s="271"/>
      <c r="M245" s="271"/>
      <c r="N245" s="510"/>
      <c r="O245" s="326"/>
      <c r="P245" s="477"/>
      <c r="Q245" s="380"/>
      <c r="R245" s="380"/>
      <c r="S245" s="276"/>
      <c r="T245" s="276"/>
      <c r="U245" s="276"/>
      <c r="V245" s="276"/>
      <c r="W245" s="276"/>
      <c r="X245" s="276"/>
      <c r="Y245" s="276"/>
    </row>
    <row r="246" spans="1:25" ht="18.75" customHeight="1">
      <c r="A246" s="263"/>
      <c r="B246" s="263"/>
      <c r="C246" s="401"/>
      <c r="D246" s="479"/>
      <c r="E246" s="479"/>
      <c r="F246" s="269"/>
      <c r="G246" s="263"/>
      <c r="H246" s="270"/>
      <c r="I246" s="100">
        <v>3</v>
      </c>
      <c r="J246" s="15" t="s">
        <v>153</v>
      </c>
      <c r="K246" s="271"/>
      <c r="L246" s="271"/>
      <c r="M246" s="271"/>
      <c r="N246" s="510"/>
      <c r="O246" s="326"/>
      <c r="P246" s="477"/>
      <c r="Q246" s="380"/>
      <c r="R246" s="380"/>
      <c r="S246" s="276"/>
      <c r="T246" s="276"/>
      <c r="U246" s="276"/>
      <c r="V246" s="276"/>
      <c r="W246" s="276"/>
      <c r="X246" s="276"/>
      <c r="Y246" s="276"/>
    </row>
    <row r="247" spans="1:25" ht="18.75" customHeight="1">
      <c r="A247" s="263"/>
      <c r="B247" s="263"/>
      <c r="C247" s="401"/>
      <c r="D247" s="479"/>
      <c r="E247" s="479"/>
      <c r="F247" s="269"/>
      <c r="G247" s="263"/>
      <c r="H247" s="270"/>
      <c r="I247" s="100">
        <v>4</v>
      </c>
      <c r="J247" s="15" t="s">
        <v>154</v>
      </c>
      <c r="K247" s="271"/>
      <c r="L247" s="271"/>
      <c r="M247" s="271"/>
      <c r="N247" s="511"/>
      <c r="O247" s="217"/>
      <c r="P247" s="478"/>
      <c r="Q247" s="381"/>
      <c r="R247" s="381"/>
      <c r="S247" s="277"/>
      <c r="T247" s="277"/>
      <c r="U247" s="277"/>
      <c r="V247" s="277"/>
      <c r="W247" s="277"/>
      <c r="X247" s="277"/>
      <c r="Y247" s="277"/>
    </row>
    <row r="248" spans="1:25" ht="18.75" customHeight="1">
      <c r="A248" s="263" t="s">
        <v>452</v>
      </c>
      <c r="B248" s="263" t="s">
        <v>453</v>
      </c>
      <c r="C248" s="401" t="s">
        <v>158</v>
      </c>
      <c r="D248" s="479">
        <v>22</v>
      </c>
      <c r="E248" s="479" t="s">
        <v>454</v>
      </c>
      <c r="F248" s="269" t="s">
        <v>165</v>
      </c>
      <c r="G248" s="254" t="s">
        <v>455</v>
      </c>
      <c r="H248" s="270" t="s">
        <v>40</v>
      </c>
      <c r="I248" s="100">
        <v>1</v>
      </c>
      <c r="J248" s="15" t="s">
        <v>151</v>
      </c>
      <c r="K248" s="271" t="s">
        <v>46</v>
      </c>
      <c r="L248" s="271">
        <v>1</v>
      </c>
      <c r="M248" s="271" t="s">
        <v>40</v>
      </c>
      <c r="N248" s="510" t="s">
        <v>50</v>
      </c>
      <c r="O248" s="326" t="s">
        <v>51</v>
      </c>
      <c r="P248" s="477" t="s">
        <v>45</v>
      </c>
      <c r="Q248" s="380" t="s">
        <v>40</v>
      </c>
      <c r="R248" s="380" t="s">
        <v>40</v>
      </c>
      <c r="S248" s="276" t="s">
        <v>40</v>
      </c>
      <c r="T248" s="474" t="s">
        <v>456</v>
      </c>
      <c r="U248" s="276" t="s">
        <v>40</v>
      </c>
      <c r="V248" s="276" t="s">
        <v>40</v>
      </c>
      <c r="W248" s="276" t="s">
        <v>40</v>
      </c>
      <c r="X248" s="276" t="s">
        <v>40</v>
      </c>
      <c r="Y248" s="276" t="s">
        <v>40</v>
      </c>
    </row>
    <row r="249" spans="1:25" ht="18.75" customHeight="1">
      <c r="A249" s="263"/>
      <c r="B249" s="263"/>
      <c r="C249" s="401"/>
      <c r="D249" s="479"/>
      <c r="E249" s="479"/>
      <c r="F249" s="269"/>
      <c r="G249" s="254"/>
      <c r="H249" s="270"/>
      <c r="I249" s="100">
        <v>2</v>
      </c>
      <c r="J249" s="15" t="s">
        <v>152</v>
      </c>
      <c r="K249" s="271"/>
      <c r="L249" s="271"/>
      <c r="M249" s="271"/>
      <c r="N249" s="510"/>
      <c r="O249" s="326"/>
      <c r="P249" s="477"/>
      <c r="Q249" s="380"/>
      <c r="R249" s="380"/>
      <c r="S249" s="276"/>
      <c r="T249" s="474"/>
      <c r="U249" s="276"/>
      <c r="V249" s="276"/>
      <c r="W249" s="276"/>
      <c r="X249" s="276"/>
      <c r="Y249" s="276"/>
    </row>
    <row r="250" spans="1:25" ht="18.75" customHeight="1">
      <c r="A250" s="263"/>
      <c r="B250" s="263"/>
      <c r="C250" s="401"/>
      <c r="D250" s="479"/>
      <c r="E250" s="479"/>
      <c r="F250" s="269"/>
      <c r="G250" s="254"/>
      <c r="H250" s="270"/>
      <c r="I250" s="100">
        <v>3</v>
      </c>
      <c r="J250" s="15" t="s">
        <v>153</v>
      </c>
      <c r="K250" s="271"/>
      <c r="L250" s="271"/>
      <c r="M250" s="271"/>
      <c r="N250" s="510"/>
      <c r="O250" s="326"/>
      <c r="P250" s="477"/>
      <c r="Q250" s="380"/>
      <c r="R250" s="380"/>
      <c r="S250" s="276"/>
      <c r="T250" s="474"/>
      <c r="U250" s="276"/>
      <c r="V250" s="276"/>
      <c r="W250" s="276"/>
      <c r="X250" s="276"/>
      <c r="Y250" s="276"/>
    </row>
    <row r="251" spans="1:25" ht="18.75" customHeight="1">
      <c r="A251" s="263"/>
      <c r="B251" s="263"/>
      <c r="C251" s="401"/>
      <c r="D251" s="479"/>
      <c r="E251" s="479"/>
      <c r="F251" s="269"/>
      <c r="G251" s="254"/>
      <c r="H251" s="270"/>
      <c r="I251" s="100">
        <v>4</v>
      </c>
      <c r="J251" s="15" t="s">
        <v>154</v>
      </c>
      <c r="K251" s="271"/>
      <c r="L251" s="271"/>
      <c r="M251" s="271"/>
      <c r="N251" s="511"/>
      <c r="O251" s="217"/>
      <c r="P251" s="478"/>
      <c r="Q251" s="381"/>
      <c r="R251" s="381"/>
      <c r="S251" s="277"/>
      <c r="T251" s="475"/>
      <c r="U251" s="277"/>
      <c r="V251" s="277"/>
      <c r="W251" s="277"/>
      <c r="X251" s="277"/>
      <c r="Y251" s="277"/>
    </row>
    <row r="252" spans="1:25" ht="14.25" customHeight="1">
      <c r="A252" s="223" t="s">
        <v>457</v>
      </c>
      <c r="B252" s="223" t="s">
        <v>458</v>
      </c>
      <c r="C252" s="223" t="s">
        <v>225</v>
      </c>
      <c r="D252" s="215">
        <v>22</v>
      </c>
      <c r="E252" s="215" t="s">
        <v>459</v>
      </c>
      <c r="F252" s="269" t="s">
        <v>165</v>
      </c>
      <c r="G252" s="415" t="s">
        <v>460</v>
      </c>
      <c r="H252" s="469" t="s">
        <v>40</v>
      </c>
      <c r="I252" s="111">
        <v>1</v>
      </c>
      <c r="J252" s="35" t="s">
        <v>151</v>
      </c>
      <c r="K252" s="468" t="s">
        <v>46</v>
      </c>
      <c r="L252" s="468">
        <v>1</v>
      </c>
      <c r="M252" s="468" t="s">
        <v>40</v>
      </c>
      <c r="N252" s="483" t="s">
        <v>50</v>
      </c>
      <c r="O252" s="335" t="s">
        <v>51</v>
      </c>
      <c r="P252" s="483" t="s">
        <v>45</v>
      </c>
      <c r="Q252" s="690" t="s">
        <v>40</v>
      </c>
      <c r="R252" s="484" t="s">
        <v>40</v>
      </c>
      <c r="S252" s="487" t="s">
        <v>40</v>
      </c>
      <c r="T252" s="31" t="s">
        <v>40</v>
      </c>
      <c r="U252" s="284" t="s">
        <v>40</v>
      </c>
      <c r="V252" s="284" t="s">
        <v>40</v>
      </c>
      <c r="W252" s="284" t="s">
        <v>40</v>
      </c>
      <c r="X252" s="284" t="s">
        <v>40</v>
      </c>
      <c r="Y252" s="284" t="s">
        <v>40</v>
      </c>
    </row>
    <row r="253" spans="1:25" ht="14.25" customHeight="1">
      <c r="A253" s="223"/>
      <c r="B253" s="223"/>
      <c r="C253" s="223"/>
      <c r="D253" s="215"/>
      <c r="E253" s="215"/>
      <c r="F253" s="269"/>
      <c r="G253" s="415"/>
      <c r="H253" s="469"/>
      <c r="I253" s="111">
        <v>2</v>
      </c>
      <c r="J253" s="35" t="s">
        <v>152</v>
      </c>
      <c r="K253" s="468"/>
      <c r="L253" s="468"/>
      <c r="M253" s="468"/>
      <c r="N253" s="472"/>
      <c r="O253" s="336"/>
      <c r="P253" s="472"/>
      <c r="Q253" s="629"/>
      <c r="R253" s="485"/>
      <c r="S253" s="488"/>
      <c r="T253" s="32" t="s">
        <v>40</v>
      </c>
      <c r="U253" s="285"/>
      <c r="V253" s="285"/>
      <c r="W253" s="285"/>
      <c r="X253" s="285"/>
      <c r="Y253" s="285"/>
    </row>
    <row r="254" spans="1:25" ht="14.25" customHeight="1">
      <c r="A254" s="223"/>
      <c r="B254" s="223"/>
      <c r="C254" s="223"/>
      <c r="D254" s="215"/>
      <c r="E254" s="215"/>
      <c r="F254" s="269"/>
      <c r="G254" s="415"/>
      <c r="H254" s="469"/>
      <c r="I254" s="111">
        <v>3</v>
      </c>
      <c r="J254" s="35" t="s">
        <v>153</v>
      </c>
      <c r="K254" s="468"/>
      <c r="L254" s="468"/>
      <c r="M254" s="468"/>
      <c r="N254" s="472"/>
      <c r="O254" s="336"/>
      <c r="P254" s="472"/>
      <c r="Q254" s="629"/>
      <c r="R254" s="485"/>
      <c r="S254" s="488"/>
      <c r="T254" s="32" t="s">
        <v>40</v>
      </c>
      <c r="U254" s="285"/>
      <c r="V254" s="285"/>
      <c r="W254" s="285"/>
      <c r="X254" s="285"/>
      <c r="Y254" s="285"/>
    </row>
    <row r="255" spans="1:25" ht="14.25" customHeight="1">
      <c r="A255" s="223"/>
      <c r="B255" s="223"/>
      <c r="C255" s="223"/>
      <c r="D255" s="215"/>
      <c r="E255" s="215"/>
      <c r="F255" s="269"/>
      <c r="G255" s="415"/>
      <c r="H255" s="469"/>
      <c r="I255" s="111">
        <v>4</v>
      </c>
      <c r="J255" s="35" t="s">
        <v>154</v>
      </c>
      <c r="K255" s="468"/>
      <c r="L255" s="468"/>
      <c r="M255" s="468"/>
      <c r="N255" s="473"/>
      <c r="O255" s="337"/>
      <c r="P255" s="473"/>
      <c r="Q255" s="691"/>
      <c r="R255" s="486"/>
      <c r="S255" s="489"/>
      <c r="T255" s="32" t="s">
        <v>40</v>
      </c>
      <c r="U255" s="286"/>
      <c r="V255" s="286"/>
      <c r="W255" s="286"/>
      <c r="X255" s="286"/>
      <c r="Y255" s="286"/>
    </row>
    <row r="256" spans="1:25" ht="14.25" customHeight="1">
      <c r="A256" s="223" t="s">
        <v>457</v>
      </c>
      <c r="B256" s="223" t="s">
        <v>458</v>
      </c>
      <c r="C256" s="223" t="s">
        <v>225</v>
      </c>
      <c r="D256" s="215">
        <v>23</v>
      </c>
      <c r="E256" s="215" t="s">
        <v>461</v>
      </c>
      <c r="F256" s="269" t="s">
        <v>165</v>
      </c>
      <c r="G256" s="415" t="s">
        <v>462</v>
      </c>
      <c r="H256" s="469" t="s">
        <v>40</v>
      </c>
      <c r="I256" s="111">
        <v>1</v>
      </c>
      <c r="J256" s="35" t="s">
        <v>151</v>
      </c>
      <c r="K256" s="468" t="s">
        <v>46</v>
      </c>
      <c r="L256" s="468">
        <v>1</v>
      </c>
      <c r="M256" s="468" t="s">
        <v>40</v>
      </c>
      <c r="N256" s="472" t="s">
        <v>50</v>
      </c>
      <c r="O256" s="336" t="s">
        <v>51</v>
      </c>
      <c r="P256" s="472" t="s">
        <v>45</v>
      </c>
      <c r="Q256" s="629" t="s">
        <v>40</v>
      </c>
      <c r="R256" s="485" t="s">
        <v>40</v>
      </c>
      <c r="S256" s="488" t="s">
        <v>40</v>
      </c>
      <c r="T256" s="32" t="s">
        <v>40</v>
      </c>
      <c r="U256" s="284" t="s">
        <v>40</v>
      </c>
      <c r="V256" s="284" t="s">
        <v>40</v>
      </c>
      <c r="W256" s="284" t="s">
        <v>40</v>
      </c>
      <c r="X256" s="284" t="s">
        <v>40</v>
      </c>
      <c r="Y256" s="284" t="s">
        <v>40</v>
      </c>
    </row>
    <row r="257" spans="1:25" ht="14.25" customHeight="1">
      <c r="A257" s="223"/>
      <c r="B257" s="223"/>
      <c r="C257" s="223"/>
      <c r="D257" s="215"/>
      <c r="E257" s="215"/>
      <c r="F257" s="269"/>
      <c r="G257" s="415"/>
      <c r="H257" s="469"/>
      <c r="I257" s="111">
        <v>2</v>
      </c>
      <c r="J257" s="35" t="s">
        <v>152</v>
      </c>
      <c r="K257" s="468"/>
      <c r="L257" s="468"/>
      <c r="M257" s="468"/>
      <c r="N257" s="472"/>
      <c r="O257" s="336"/>
      <c r="P257" s="472"/>
      <c r="Q257" s="629"/>
      <c r="R257" s="485"/>
      <c r="S257" s="488"/>
      <c r="T257" s="32" t="s">
        <v>40</v>
      </c>
      <c r="U257" s="285"/>
      <c r="V257" s="285"/>
      <c r="W257" s="285"/>
      <c r="X257" s="285"/>
      <c r="Y257" s="285"/>
    </row>
    <row r="258" spans="1:25" ht="14.25" customHeight="1">
      <c r="A258" s="223"/>
      <c r="B258" s="223"/>
      <c r="C258" s="223"/>
      <c r="D258" s="215"/>
      <c r="E258" s="215"/>
      <c r="F258" s="269"/>
      <c r="G258" s="415"/>
      <c r="H258" s="469"/>
      <c r="I258" s="111">
        <v>3</v>
      </c>
      <c r="J258" s="35" t="s">
        <v>153</v>
      </c>
      <c r="K258" s="468"/>
      <c r="L258" s="468"/>
      <c r="M258" s="468"/>
      <c r="N258" s="472"/>
      <c r="O258" s="336"/>
      <c r="P258" s="472"/>
      <c r="Q258" s="629"/>
      <c r="R258" s="485"/>
      <c r="S258" s="488"/>
      <c r="T258" s="32" t="s">
        <v>40</v>
      </c>
      <c r="U258" s="285"/>
      <c r="V258" s="285"/>
      <c r="W258" s="285"/>
      <c r="X258" s="285"/>
      <c r="Y258" s="285"/>
    </row>
    <row r="259" spans="1:25" ht="14.25" customHeight="1">
      <c r="A259" s="223"/>
      <c r="B259" s="223"/>
      <c r="C259" s="223"/>
      <c r="D259" s="215"/>
      <c r="E259" s="215"/>
      <c r="F259" s="269"/>
      <c r="G259" s="415"/>
      <c r="H259" s="469"/>
      <c r="I259" s="111">
        <v>4</v>
      </c>
      <c r="J259" s="35" t="s">
        <v>154</v>
      </c>
      <c r="K259" s="468"/>
      <c r="L259" s="468"/>
      <c r="M259" s="468"/>
      <c r="N259" s="473"/>
      <c r="O259" s="337"/>
      <c r="P259" s="473"/>
      <c r="Q259" s="629"/>
      <c r="R259" s="485"/>
      <c r="S259" s="488"/>
      <c r="T259" s="32" t="s">
        <v>40</v>
      </c>
      <c r="U259" s="286"/>
      <c r="V259" s="286"/>
      <c r="W259" s="286"/>
      <c r="X259" s="286"/>
      <c r="Y259" s="286"/>
    </row>
    <row r="260" spans="1:25" ht="18.75" customHeight="1">
      <c r="A260" s="223" t="s">
        <v>463</v>
      </c>
      <c r="B260" s="223" t="s">
        <v>464</v>
      </c>
      <c r="C260" s="223" t="s">
        <v>158</v>
      </c>
      <c r="D260" s="224">
        <v>23</v>
      </c>
      <c r="E260" s="224" t="s">
        <v>465</v>
      </c>
      <c r="F260" s="269" t="s">
        <v>165</v>
      </c>
      <c r="G260" s="580" t="s">
        <v>466</v>
      </c>
      <c r="H260" s="581" t="s">
        <v>467</v>
      </c>
      <c r="I260" s="110">
        <v>1</v>
      </c>
      <c r="J260" s="33" t="s">
        <v>468</v>
      </c>
      <c r="K260" s="247" t="s">
        <v>46</v>
      </c>
      <c r="L260" s="247">
        <v>1</v>
      </c>
      <c r="M260" s="247"/>
      <c r="N260" s="556" t="s">
        <v>161</v>
      </c>
      <c r="O260" s="247" t="s">
        <v>51</v>
      </c>
      <c r="P260" s="247" t="s">
        <v>45</v>
      </c>
      <c r="Q260" s="586"/>
      <c r="R260" s="586"/>
      <c r="S260" s="269"/>
      <c r="T260" s="269"/>
      <c r="U260" s="269"/>
      <c r="V260" s="269"/>
      <c r="W260" s="269"/>
      <c r="X260" s="269"/>
      <c r="Y260" s="269"/>
    </row>
    <row r="261" spans="1:25" ht="20.25" customHeight="1">
      <c r="A261" s="223"/>
      <c r="B261" s="223"/>
      <c r="C261" s="223"/>
      <c r="D261" s="224"/>
      <c r="E261" s="224"/>
      <c r="F261" s="269"/>
      <c r="G261" s="580"/>
      <c r="H261" s="581"/>
      <c r="I261" s="110">
        <v>2</v>
      </c>
      <c r="J261" s="33" t="s">
        <v>469</v>
      </c>
      <c r="K261" s="247"/>
      <c r="L261" s="247"/>
      <c r="M261" s="247"/>
      <c r="N261" s="556"/>
      <c r="O261" s="247"/>
      <c r="P261" s="247"/>
      <c r="Q261" s="586"/>
      <c r="R261" s="586"/>
      <c r="S261" s="269"/>
      <c r="T261" s="269"/>
      <c r="U261" s="269"/>
      <c r="V261" s="269"/>
      <c r="W261" s="269"/>
      <c r="X261" s="269"/>
      <c r="Y261" s="269"/>
    </row>
    <row r="262" spans="1:25" ht="18.75" customHeight="1">
      <c r="A262" s="223"/>
      <c r="B262" s="223"/>
      <c r="C262" s="223"/>
      <c r="D262" s="224"/>
      <c r="E262" s="224"/>
      <c r="F262" s="269"/>
      <c r="G262" s="580"/>
      <c r="H262" s="581"/>
      <c r="I262" s="110">
        <v>3</v>
      </c>
      <c r="J262" s="33" t="s">
        <v>378</v>
      </c>
      <c r="K262" s="247"/>
      <c r="L262" s="247"/>
      <c r="M262" s="247"/>
      <c r="N262" s="556"/>
      <c r="O262" s="247"/>
      <c r="P262" s="247"/>
      <c r="Q262" s="586"/>
      <c r="R262" s="586"/>
      <c r="S262" s="269"/>
      <c r="T262" s="269"/>
      <c r="U262" s="269"/>
      <c r="V262" s="269"/>
      <c r="W262" s="269"/>
      <c r="X262" s="269"/>
      <c r="Y262" s="269"/>
    </row>
    <row r="263" spans="1:25" ht="20.25" customHeight="1">
      <c r="A263" s="223"/>
      <c r="B263" s="223"/>
      <c r="C263" s="223"/>
      <c r="D263" s="224"/>
      <c r="E263" s="224"/>
      <c r="F263" s="269"/>
      <c r="G263" s="580"/>
      <c r="H263" s="581"/>
      <c r="I263" s="110">
        <v>4</v>
      </c>
      <c r="J263" s="33" t="s">
        <v>470</v>
      </c>
      <c r="K263" s="247"/>
      <c r="L263" s="247"/>
      <c r="M263" s="247"/>
      <c r="N263" s="556"/>
      <c r="O263" s="247"/>
      <c r="P263" s="247"/>
      <c r="Q263" s="586"/>
      <c r="R263" s="586"/>
      <c r="S263" s="269"/>
      <c r="T263" s="269"/>
      <c r="U263" s="269"/>
      <c r="V263" s="269"/>
      <c r="W263" s="269"/>
      <c r="X263" s="269"/>
      <c r="Y263" s="269"/>
    </row>
    <row r="264" spans="1:25" ht="18" customHeight="1">
      <c r="A264" s="223"/>
      <c r="B264" s="223"/>
      <c r="C264" s="223"/>
      <c r="D264" s="224"/>
      <c r="E264" s="224"/>
      <c r="F264" s="269"/>
      <c r="G264" s="580"/>
      <c r="H264" s="581"/>
      <c r="I264" s="110">
        <v>5</v>
      </c>
      <c r="J264" s="33" t="s">
        <v>471</v>
      </c>
      <c r="K264" s="247"/>
      <c r="L264" s="247"/>
      <c r="M264" s="247"/>
      <c r="N264" s="556"/>
      <c r="O264" s="247"/>
      <c r="P264" s="247"/>
      <c r="Q264" s="586"/>
      <c r="R264" s="586"/>
      <c r="S264" s="269"/>
      <c r="T264" s="269"/>
      <c r="U264" s="269"/>
      <c r="V264" s="269"/>
      <c r="W264" s="269"/>
      <c r="X264" s="269"/>
      <c r="Y264" s="269"/>
    </row>
    <row r="265" spans="1:25" ht="20.25" customHeight="1">
      <c r="A265" s="223"/>
      <c r="B265" s="223"/>
      <c r="C265" s="223"/>
      <c r="D265" s="224"/>
      <c r="E265" s="224"/>
      <c r="F265" s="269"/>
      <c r="G265" s="580"/>
      <c r="H265" s="581"/>
      <c r="I265" s="110">
        <v>8</v>
      </c>
      <c r="J265" s="33" t="s">
        <v>287</v>
      </c>
      <c r="K265" s="247"/>
      <c r="L265" s="247"/>
      <c r="M265" s="247"/>
      <c r="N265" s="556"/>
      <c r="O265" s="247"/>
      <c r="P265" s="247"/>
      <c r="Q265" s="586"/>
      <c r="R265" s="586"/>
      <c r="S265" s="269"/>
      <c r="T265" s="269"/>
      <c r="U265" s="269"/>
      <c r="V265" s="269"/>
      <c r="W265" s="269"/>
      <c r="X265" s="269"/>
      <c r="Y265" s="269"/>
    </row>
    <row r="266" spans="1:25" ht="20.25" customHeight="1">
      <c r="A266" s="223"/>
      <c r="B266" s="223"/>
      <c r="C266" s="223"/>
      <c r="D266" s="224"/>
      <c r="E266" s="224"/>
      <c r="F266" s="269"/>
      <c r="G266" s="580"/>
      <c r="H266" s="581"/>
      <c r="I266" s="110">
        <v>77</v>
      </c>
      <c r="J266" s="33" t="s">
        <v>243</v>
      </c>
      <c r="K266" s="247"/>
      <c r="L266" s="247"/>
      <c r="M266" s="247"/>
      <c r="N266" s="556"/>
      <c r="O266" s="247"/>
      <c r="P266" s="247"/>
      <c r="Q266" s="586"/>
      <c r="R266" s="586"/>
      <c r="S266" s="269"/>
      <c r="T266" s="269"/>
      <c r="U266" s="283"/>
      <c r="V266" s="283"/>
      <c r="W266" s="283"/>
      <c r="X266" s="283"/>
      <c r="Y266" s="283"/>
    </row>
    <row r="267" spans="1:25" ht="36" customHeight="1">
      <c r="A267" s="146"/>
      <c r="B267" s="146"/>
      <c r="D267" s="170">
        <v>24</v>
      </c>
      <c r="E267" s="170" t="s">
        <v>472</v>
      </c>
      <c r="G267" s="33" t="s">
        <v>473</v>
      </c>
      <c r="H267" s="86"/>
      <c r="I267" s="110"/>
      <c r="J267" s="33"/>
      <c r="K267" s="181" t="s">
        <v>46</v>
      </c>
      <c r="L267" s="160">
        <v>1</v>
      </c>
      <c r="M267" s="160"/>
      <c r="N267" s="181" t="s">
        <v>44</v>
      </c>
      <c r="O267" s="160"/>
      <c r="P267" s="160"/>
      <c r="Q267" s="193"/>
      <c r="R267" s="193"/>
      <c r="S267" s="147"/>
      <c r="T267" s="147"/>
      <c r="U267" s="148"/>
      <c r="V267" s="147"/>
      <c r="W267" s="147"/>
      <c r="X267" s="147"/>
      <c r="Y267" s="147"/>
    </row>
    <row r="268" spans="1:25" s="34" customFormat="1" ht="20.25" customHeight="1">
      <c r="A268" s="228" t="s">
        <v>474</v>
      </c>
      <c r="B268" s="228" t="s">
        <v>475</v>
      </c>
      <c r="C268" s="269" t="s">
        <v>225</v>
      </c>
      <c r="D268" s="224">
        <v>24</v>
      </c>
      <c r="E268" s="224" t="s">
        <v>476</v>
      </c>
      <c r="F268" s="269" t="s">
        <v>477</v>
      </c>
      <c r="G268" s="254" t="s">
        <v>478</v>
      </c>
      <c r="H268" s="270" t="s">
        <v>295</v>
      </c>
      <c r="I268" s="100">
        <v>1</v>
      </c>
      <c r="J268" s="63" t="s">
        <v>479</v>
      </c>
      <c r="K268" s="462" t="s">
        <v>46</v>
      </c>
      <c r="L268" s="584">
        <v>1</v>
      </c>
      <c r="M268" s="584" t="s">
        <v>40</v>
      </c>
      <c r="N268" s="584" t="s">
        <v>161</v>
      </c>
      <c r="O268" s="584" t="s">
        <v>51</v>
      </c>
      <c r="P268" s="584" t="s">
        <v>356</v>
      </c>
      <c r="Q268" s="614"/>
      <c r="R268" s="614"/>
      <c r="S268" s="57"/>
      <c r="T268" s="57"/>
      <c r="U268" s="620"/>
      <c r="V268" s="57"/>
      <c r="W268" s="57"/>
      <c r="X268" s="57"/>
      <c r="Y268" s="57"/>
    </row>
    <row r="269" spans="1:25" s="34" customFormat="1" ht="20.25" customHeight="1">
      <c r="A269" s="229"/>
      <c r="B269" s="229"/>
      <c r="C269" s="269"/>
      <c r="D269" s="224"/>
      <c r="E269" s="224"/>
      <c r="F269" s="269"/>
      <c r="G269" s="254"/>
      <c r="H269" s="270"/>
      <c r="I269" s="100">
        <v>2</v>
      </c>
      <c r="J269" s="63" t="s">
        <v>480</v>
      </c>
      <c r="K269" s="463"/>
      <c r="L269" s="585"/>
      <c r="M269" s="585"/>
      <c r="N269" s="585"/>
      <c r="O269" s="585"/>
      <c r="P269" s="585"/>
      <c r="Q269" s="615"/>
      <c r="R269" s="615"/>
      <c r="S269" s="57"/>
      <c r="T269" s="57"/>
      <c r="U269" s="597"/>
      <c r="V269" s="57"/>
      <c r="W269" s="57"/>
      <c r="X269" s="57"/>
      <c r="Y269" s="57"/>
    </row>
    <row r="270" spans="1:25" s="34" customFormat="1" ht="20.25" customHeight="1">
      <c r="A270" s="229"/>
      <c r="B270" s="229"/>
      <c r="C270" s="269"/>
      <c r="D270" s="224"/>
      <c r="E270" s="224"/>
      <c r="F270" s="269"/>
      <c r="G270" s="254"/>
      <c r="H270" s="270"/>
      <c r="I270" s="100">
        <v>3</v>
      </c>
      <c r="J270" s="63" t="s">
        <v>481</v>
      </c>
      <c r="K270" s="463"/>
      <c r="L270" s="585"/>
      <c r="M270" s="585"/>
      <c r="N270" s="585"/>
      <c r="O270" s="585"/>
      <c r="P270" s="585"/>
      <c r="Q270" s="615"/>
      <c r="R270" s="615"/>
      <c r="S270" s="57"/>
      <c r="T270" s="57"/>
      <c r="U270" s="597"/>
      <c r="V270" s="57"/>
      <c r="W270" s="57"/>
      <c r="X270" s="57"/>
      <c r="Y270" s="57"/>
    </row>
    <row r="271" spans="1:25" s="34" customFormat="1" ht="20.25" customHeight="1">
      <c r="A271" s="229"/>
      <c r="B271" s="229"/>
      <c r="C271" s="269"/>
      <c r="D271" s="224"/>
      <c r="E271" s="224"/>
      <c r="F271" s="269"/>
      <c r="G271" s="254"/>
      <c r="H271" s="270"/>
      <c r="I271" s="100">
        <v>4</v>
      </c>
      <c r="J271" s="63" t="s">
        <v>482</v>
      </c>
      <c r="K271" s="463"/>
      <c r="L271" s="585"/>
      <c r="M271" s="585"/>
      <c r="N271" s="585"/>
      <c r="O271" s="585"/>
      <c r="P271" s="585"/>
      <c r="Q271" s="615"/>
      <c r="R271" s="615"/>
      <c r="S271" s="57"/>
      <c r="T271" s="57"/>
      <c r="U271" s="597"/>
      <c r="V271" s="57"/>
      <c r="W271" s="57"/>
      <c r="X271" s="57"/>
      <c r="Y271" s="57"/>
    </row>
    <row r="272" spans="1:25" s="34" customFormat="1" ht="20.25" customHeight="1">
      <c r="A272" s="229"/>
      <c r="B272" s="229"/>
      <c r="C272" s="269"/>
      <c r="D272" s="224"/>
      <c r="E272" s="224"/>
      <c r="F272" s="269"/>
      <c r="G272" s="254"/>
      <c r="H272" s="270"/>
      <c r="I272" s="100">
        <v>5</v>
      </c>
      <c r="J272" s="63" t="s">
        <v>308</v>
      </c>
      <c r="K272" s="463"/>
      <c r="L272" s="585"/>
      <c r="M272" s="585"/>
      <c r="N272" s="585"/>
      <c r="O272" s="585"/>
      <c r="P272" s="585"/>
      <c r="Q272" s="615"/>
      <c r="R272" s="615"/>
      <c r="S272" s="57"/>
      <c r="T272" s="57"/>
      <c r="U272" s="597"/>
      <c r="V272" s="57"/>
      <c r="W272" s="57"/>
      <c r="X272" s="57"/>
      <c r="Y272" s="57"/>
    </row>
    <row r="273" spans="1:25" s="34" customFormat="1" ht="20.25" customHeight="1">
      <c r="A273" s="229"/>
      <c r="B273" s="229"/>
      <c r="C273" s="269"/>
      <c r="D273" s="224"/>
      <c r="E273" s="224"/>
      <c r="F273" s="269"/>
      <c r="G273" s="254"/>
      <c r="H273" s="270"/>
      <c r="I273" s="100">
        <v>6</v>
      </c>
      <c r="J273" s="63" t="s">
        <v>483</v>
      </c>
      <c r="K273" s="463"/>
      <c r="L273" s="585"/>
      <c r="M273" s="585"/>
      <c r="N273" s="585"/>
      <c r="O273" s="585"/>
      <c r="P273" s="585"/>
      <c r="Q273" s="615"/>
      <c r="R273" s="615"/>
      <c r="S273" s="57"/>
      <c r="T273" s="57"/>
      <c r="U273" s="597"/>
      <c r="V273" s="57"/>
      <c r="W273" s="57"/>
      <c r="X273" s="57"/>
      <c r="Y273" s="57"/>
    </row>
    <row r="274" spans="1:25" s="34" customFormat="1" ht="20.25" customHeight="1">
      <c r="A274" s="229"/>
      <c r="B274" s="229"/>
      <c r="C274" s="269"/>
      <c r="D274" s="224"/>
      <c r="E274" s="224"/>
      <c r="F274" s="269"/>
      <c r="G274" s="254"/>
      <c r="H274" s="270"/>
      <c r="I274" s="100">
        <v>7</v>
      </c>
      <c r="J274" s="63" t="s">
        <v>484</v>
      </c>
      <c r="K274" s="463"/>
      <c r="L274" s="585"/>
      <c r="M274" s="585"/>
      <c r="N274" s="585"/>
      <c r="O274" s="585"/>
      <c r="P274" s="585"/>
      <c r="Q274" s="615"/>
      <c r="R274" s="615"/>
      <c r="S274" s="57"/>
      <c r="T274" s="57"/>
      <c r="U274" s="597"/>
      <c r="V274" s="57"/>
      <c r="W274" s="57"/>
      <c r="X274" s="57"/>
      <c r="Y274" s="57"/>
    </row>
    <row r="275" spans="1:25" s="34" customFormat="1" ht="20.25" customHeight="1">
      <c r="A275" s="229"/>
      <c r="B275" s="229"/>
      <c r="C275" s="269"/>
      <c r="D275" s="224"/>
      <c r="E275" s="224"/>
      <c r="F275" s="269"/>
      <c r="G275" s="254"/>
      <c r="H275" s="270"/>
      <c r="I275" s="100">
        <v>8</v>
      </c>
      <c r="J275" s="63" t="s">
        <v>485</v>
      </c>
      <c r="K275" s="463"/>
      <c r="L275" s="585"/>
      <c r="M275" s="585"/>
      <c r="N275" s="585"/>
      <c r="O275" s="585"/>
      <c r="P275" s="585"/>
      <c r="Q275" s="615"/>
      <c r="R275" s="615"/>
      <c r="S275" s="57"/>
      <c r="T275" s="57"/>
      <c r="U275" s="597"/>
      <c r="V275" s="57"/>
      <c r="W275" s="57"/>
      <c r="X275" s="57"/>
      <c r="Y275" s="57"/>
    </row>
    <row r="276" spans="1:25" s="34" customFormat="1" ht="20.25" customHeight="1">
      <c r="A276" s="230"/>
      <c r="B276" s="230"/>
      <c r="C276" s="269"/>
      <c r="D276" s="224"/>
      <c r="E276" s="224"/>
      <c r="F276" s="269"/>
      <c r="G276" s="254"/>
      <c r="H276" s="270"/>
      <c r="I276" s="100">
        <v>9</v>
      </c>
      <c r="J276" s="63" t="s">
        <v>486</v>
      </c>
      <c r="K276" s="463"/>
      <c r="L276" s="585"/>
      <c r="M276" s="585"/>
      <c r="N276" s="585"/>
      <c r="O276" s="585"/>
      <c r="P276" s="585"/>
      <c r="Q276" s="615"/>
      <c r="R276" s="615"/>
      <c r="S276" s="57"/>
      <c r="T276" s="57"/>
      <c r="U276" s="597"/>
      <c r="V276" s="57"/>
      <c r="W276" s="57"/>
      <c r="X276" s="57"/>
      <c r="Y276" s="57"/>
    </row>
    <row r="277" spans="1:25" s="34" customFormat="1" ht="20.25" customHeight="1">
      <c r="A277" s="228" t="s">
        <v>487</v>
      </c>
      <c r="B277" s="228" t="s">
        <v>488</v>
      </c>
      <c r="C277" s="269"/>
      <c r="D277" s="224"/>
      <c r="E277" s="224"/>
      <c r="F277" s="269"/>
      <c r="G277" s="254"/>
      <c r="H277" s="270"/>
      <c r="I277" s="100">
        <v>10</v>
      </c>
      <c r="J277" s="63" t="s">
        <v>489</v>
      </c>
      <c r="K277" s="463"/>
      <c r="L277" s="585"/>
      <c r="M277" s="585"/>
      <c r="N277" s="585"/>
      <c r="O277" s="585"/>
      <c r="P277" s="585"/>
      <c r="Q277" s="615"/>
      <c r="R277" s="615"/>
      <c r="S277" s="57"/>
      <c r="T277" s="57"/>
      <c r="U277" s="597"/>
      <c r="V277" s="57"/>
      <c r="W277" s="57"/>
      <c r="X277" s="57"/>
      <c r="Y277" s="57"/>
    </row>
    <row r="278" spans="1:25" s="34" customFormat="1" ht="20.25" customHeight="1">
      <c r="A278" s="229"/>
      <c r="B278" s="229"/>
      <c r="C278" s="269"/>
      <c r="D278" s="224"/>
      <c r="E278" s="224"/>
      <c r="F278" s="269"/>
      <c r="G278" s="254"/>
      <c r="H278" s="270"/>
      <c r="I278" s="100">
        <v>11</v>
      </c>
      <c r="J278" s="63" t="s">
        <v>490</v>
      </c>
      <c r="K278" s="463"/>
      <c r="L278" s="585"/>
      <c r="M278" s="585"/>
      <c r="N278" s="585"/>
      <c r="O278" s="585"/>
      <c r="P278" s="585"/>
      <c r="Q278" s="615"/>
      <c r="R278" s="615"/>
      <c r="S278" s="57"/>
      <c r="T278" s="57"/>
      <c r="U278" s="597"/>
      <c r="V278" s="57"/>
      <c r="W278" s="57"/>
      <c r="X278" s="57"/>
      <c r="Y278" s="57"/>
    </row>
    <row r="279" spans="1:25" s="34" customFormat="1" ht="20.25" customHeight="1">
      <c r="A279" s="229"/>
      <c r="B279" s="229"/>
      <c r="C279" s="269"/>
      <c r="D279" s="224"/>
      <c r="E279" s="224"/>
      <c r="F279" s="269"/>
      <c r="G279" s="254"/>
      <c r="H279" s="270"/>
      <c r="I279" s="100">
        <v>12</v>
      </c>
      <c r="J279" s="63" t="s">
        <v>491</v>
      </c>
      <c r="K279" s="463"/>
      <c r="L279" s="585"/>
      <c r="M279" s="585"/>
      <c r="N279" s="585"/>
      <c r="O279" s="585"/>
      <c r="P279" s="585"/>
      <c r="Q279" s="615"/>
      <c r="R279" s="615"/>
      <c r="S279" s="57"/>
      <c r="T279" s="57"/>
      <c r="U279" s="597"/>
      <c r="V279" s="57"/>
      <c r="W279" s="57"/>
      <c r="X279" s="57"/>
      <c r="Y279" s="57"/>
    </row>
    <row r="280" spans="1:25" s="34" customFormat="1" ht="20.25" customHeight="1">
      <c r="A280" s="229"/>
      <c r="B280" s="229"/>
      <c r="C280" s="269"/>
      <c r="D280" s="224"/>
      <c r="E280" s="224"/>
      <c r="F280" s="269"/>
      <c r="G280" s="254"/>
      <c r="H280" s="270"/>
      <c r="I280" s="100">
        <v>13</v>
      </c>
      <c r="J280" s="63" t="s">
        <v>492</v>
      </c>
      <c r="K280" s="463"/>
      <c r="L280" s="585"/>
      <c r="M280" s="585"/>
      <c r="N280" s="585"/>
      <c r="O280" s="585"/>
      <c r="P280" s="585"/>
      <c r="Q280" s="615"/>
      <c r="R280" s="615"/>
      <c r="S280" s="57"/>
      <c r="T280" s="57"/>
      <c r="U280" s="597"/>
      <c r="V280" s="57"/>
      <c r="W280" s="57"/>
      <c r="X280" s="57"/>
      <c r="Y280" s="57"/>
    </row>
    <row r="281" spans="1:25" s="34" customFormat="1" ht="20.25" customHeight="1">
      <c r="A281" s="258" t="s">
        <v>493</v>
      </c>
      <c r="B281" s="258" t="s">
        <v>494</v>
      </c>
      <c r="C281" s="480"/>
      <c r="D281" s="224"/>
      <c r="E281" s="224"/>
      <c r="F281" s="269"/>
      <c r="G281" s="254"/>
      <c r="H281" s="270"/>
      <c r="I281" s="100">
        <v>14</v>
      </c>
      <c r="J281" s="63" t="s">
        <v>495</v>
      </c>
      <c r="K281" s="463"/>
      <c r="L281" s="585"/>
      <c r="M281" s="585"/>
      <c r="N281" s="585"/>
      <c r="O281" s="585"/>
      <c r="P281" s="585"/>
      <c r="Q281" s="615"/>
      <c r="R281" s="615"/>
      <c r="S281" s="57"/>
      <c r="T281" s="57"/>
      <c r="U281" s="597"/>
      <c r="V281" s="57"/>
      <c r="W281" s="57"/>
      <c r="X281" s="57"/>
      <c r="Y281" s="57"/>
    </row>
    <row r="282" spans="1:25" s="34" customFormat="1" ht="20.25" customHeight="1">
      <c r="A282" s="258"/>
      <c r="B282" s="258"/>
      <c r="C282" s="480"/>
      <c r="D282" s="224"/>
      <c r="E282" s="224"/>
      <c r="F282" s="269"/>
      <c r="G282" s="254"/>
      <c r="H282" s="270"/>
      <c r="I282" s="100">
        <v>15</v>
      </c>
      <c r="J282" s="63" t="s">
        <v>496</v>
      </c>
      <c r="K282" s="463"/>
      <c r="L282" s="585"/>
      <c r="M282" s="585"/>
      <c r="N282" s="585"/>
      <c r="O282" s="585"/>
      <c r="P282" s="585"/>
      <c r="Q282" s="615"/>
      <c r="R282" s="615"/>
      <c r="S282" s="57"/>
      <c r="T282" s="57"/>
      <c r="U282" s="597"/>
      <c r="V282" s="57"/>
      <c r="W282" s="57"/>
      <c r="X282" s="57"/>
      <c r="Y282" s="57"/>
    </row>
    <row r="283" spans="1:25" s="34" customFormat="1" ht="20.25" customHeight="1">
      <c r="A283" s="258" t="s">
        <v>497</v>
      </c>
      <c r="B283" s="258" t="s">
        <v>498</v>
      </c>
      <c r="C283" s="480"/>
      <c r="D283" s="224"/>
      <c r="E283" s="224"/>
      <c r="F283" s="269"/>
      <c r="G283" s="254"/>
      <c r="H283" s="270"/>
      <c r="I283" s="100">
        <v>16</v>
      </c>
      <c r="J283" s="63" t="s">
        <v>499</v>
      </c>
      <c r="K283" s="463"/>
      <c r="L283" s="585"/>
      <c r="M283" s="585"/>
      <c r="N283" s="585"/>
      <c r="O283" s="585"/>
      <c r="P283" s="585"/>
      <c r="Q283" s="615"/>
      <c r="R283" s="615"/>
      <c r="S283" s="57"/>
      <c r="T283" s="57"/>
      <c r="U283" s="597"/>
      <c r="V283" s="57"/>
      <c r="W283" s="57"/>
      <c r="X283" s="57"/>
      <c r="Y283" s="57"/>
    </row>
    <row r="284" spans="1:25" s="34" customFormat="1" ht="20.25" customHeight="1">
      <c r="A284" s="258"/>
      <c r="B284" s="258"/>
      <c r="C284" s="480"/>
      <c r="D284" s="224"/>
      <c r="E284" s="224"/>
      <c r="F284" s="269"/>
      <c r="G284" s="254"/>
      <c r="H284" s="270"/>
      <c r="I284" s="100">
        <v>17</v>
      </c>
      <c r="J284" s="63" t="s">
        <v>500</v>
      </c>
      <c r="K284" s="463"/>
      <c r="L284" s="585"/>
      <c r="M284" s="585"/>
      <c r="N284" s="585"/>
      <c r="O284" s="585"/>
      <c r="P284" s="585"/>
      <c r="Q284" s="615"/>
      <c r="R284" s="615"/>
      <c r="S284" s="57"/>
      <c r="T284" s="57"/>
      <c r="U284" s="597"/>
      <c r="V284" s="57"/>
      <c r="W284" s="57"/>
      <c r="X284" s="57"/>
      <c r="Y284" s="57"/>
    </row>
    <row r="285" spans="1:25" s="34" customFormat="1" ht="20.25" customHeight="1">
      <c r="A285" s="258" t="s">
        <v>501</v>
      </c>
      <c r="B285" s="258" t="s">
        <v>498</v>
      </c>
      <c r="C285" s="480"/>
      <c r="D285" s="224"/>
      <c r="E285" s="224"/>
      <c r="F285" s="269"/>
      <c r="G285" s="254"/>
      <c r="H285" s="270"/>
      <c r="I285" s="100">
        <v>18</v>
      </c>
      <c r="J285" s="63" t="s">
        <v>502</v>
      </c>
      <c r="K285" s="463"/>
      <c r="L285" s="585"/>
      <c r="M285" s="585"/>
      <c r="N285" s="585"/>
      <c r="O285" s="585"/>
      <c r="P285" s="585"/>
      <c r="Q285" s="615"/>
      <c r="R285" s="615"/>
      <c r="S285" s="57"/>
      <c r="T285" s="57"/>
      <c r="U285" s="597"/>
      <c r="V285" s="57"/>
      <c r="W285" s="57"/>
      <c r="X285" s="57"/>
      <c r="Y285" s="57"/>
    </row>
    <row r="286" spans="1:25" s="34" customFormat="1" ht="20.25" customHeight="1">
      <c r="A286" s="258"/>
      <c r="B286" s="258"/>
      <c r="C286" s="480"/>
      <c r="D286" s="224"/>
      <c r="E286" s="224"/>
      <c r="F286" s="269"/>
      <c r="G286" s="254"/>
      <c r="H286" s="270"/>
      <c r="I286" s="100">
        <v>19</v>
      </c>
      <c r="J286" s="63" t="s">
        <v>503</v>
      </c>
      <c r="K286" s="463"/>
      <c r="L286" s="585"/>
      <c r="M286" s="585"/>
      <c r="N286" s="585"/>
      <c r="O286" s="585"/>
      <c r="P286" s="585"/>
      <c r="Q286" s="615"/>
      <c r="R286" s="615"/>
      <c r="S286" s="57"/>
      <c r="T286" s="57"/>
      <c r="U286" s="597"/>
      <c r="V286" s="57"/>
      <c r="W286" s="57"/>
      <c r="X286" s="57"/>
      <c r="Y286" s="57"/>
    </row>
    <row r="287" spans="1:25" s="34" customFormat="1" ht="20.25" customHeight="1">
      <c r="A287" s="133" t="s">
        <v>504</v>
      </c>
      <c r="B287" s="133" t="s">
        <v>505</v>
      </c>
      <c r="C287" s="480"/>
      <c r="D287" s="224"/>
      <c r="E287" s="224"/>
      <c r="F287" s="269"/>
      <c r="G287" s="254"/>
      <c r="H287" s="270"/>
      <c r="I287" s="100">
        <v>20</v>
      </c>
      <c r="J287" s="63" t="s">
        <v>506</v>
      </c>
      <c r="K287" s="463"/>
      <c r="L287" s="585"/>
      <c r="M287" s="585"/>
      <c r="N287" s="585"/>
      <c r="O287" s="585"/>
      <c r="P287" s="585"/>
      <c r="Q287" s="615"/>
      <c r="R287" s="615"/>
      <c r="S287" s="57"/>
      <c r="T287" s="57"/>
      <c r="U287" s="597"/>
      <c r="V287" s="57"/>
      <c r="W287" s="57"/>
      <c r="X287" s="57"/>
      <c r="Y287" s="57"/>
    </row>
    <row r="288" spans="1:25" s="34" customFormat="1" ht="20.25" customHeight="1">
      <c r="A288" s="261" t="s">
        <v>507</v>
      </c>
      <c r="B288" s="259" t="s">
        <v>505</v>
      </c>
      <c r="C288" s="480"/>
      <c r="D288" s="224"/>
      <c r="E288" s="224"/>
      <c r="F288" s="269"/>
      <c r="G288" s="254"/>
      <c r="H288" s="270"/>
      <c r="I288" s="100">
        <v>21</v>
      </c>
      <c r="J288" s="63" t="s">
        <v>287</v>
      </c>
      <c r="K288" s="463"/>
      <c r="L288" s="585"/>
      <c r="M288" s="585"/>
      <c r="N288" s="585"/>
      <c r="O288" s="585"/>
      <c r="P288" s="585"/>
      <c r="Q288" s="615"/>
      <c r="R288" s="615"/>
      <c r="S288" s="57"/>
      <c r="T288" s="57"/>
      <c r="U288" s="597"/>
      <c r="V288" s="57"/>
      <c r="W288" s="57"/>
      <c r="X288" s="57"/>
      <c r="Y288" s="57"/>
    </row>
    <row r="289" spans="1:25" s="34" customFormat="1" ht="20.25" customHeight="1">
      <c r="A289" s="262"/>
      <c r="B289" s="260"/>
      <c r="C289" s="480"/>
      <c r="D289" s="224"/>
      <c r="E289" s="224"/>
      <c r="F289" s="269"/>
      <c r="G289" s="254"/>
      <c r="H289" s="270"/>
      <c r="I289" s="100">
        <v>77</v>
      </c>
      <c r="J289" s="15" t="s">
        <v>508</v>
      </c>
      <c r="K289" s="464"/>
      <c r="L289" s="613"/>
      <c r="M289" s="613"/>
      <c r="N289" s="613"/>
      <c r="O289" s="613"/>
      <c r="P289" s="613"/>
      <c r="Q289" s="616"/>
      <c r="R289" s="616"/>
      <c r="S289" s="57"/>
      <c r="T289" s="57"/>
      <c r="U289" s="621"/>
      <c r="V289" s="57"/>
      <c r="W289" s="57"/>
      <c r="X289" s="57"/>
      <c r="Y289" s="57"/>
    </row>
    <row r="290" spans="1:25" s="34" customFormat="1" ht="14.25" customHeight="1">
      <c r="A290" s="231" t="s">
        <v>474</v>
      </c>
      <c r="B290" s="231" t="s">
        <v>475</v>
      </c>
      <c r="C290" s="269" t="s">
        <v>225</v>
      </c>
      <c r="D290" s="224">
        <v>24</v>
      </c>
      <c r="E290" s="224" t="s">
        <v>509</v>
      </c>
      <c r="F290" s="254" t="s">
        <v>510</v>
      </c>
      <c r="G290" s="254" t="s">
        <v>511</v>
      </c>
      <c r="H290" s="582" t="s">
        <v>295</v>
      </c>
      <c r="I290" s="120">
        <v>1</v>
      </c>
      <c r="J290" s="77" t="s">
        <v>479</v>
      </c>
      <c r="K290" s="584" t="s">
        <v>46</v>
      </c>
      <c r="L290" s="584">
        <v>1</v>
      </c>
      <c r="M290" s="584" t="s">
        <v>40</v>
      </c>
      <c r="N290" s="584" t="s">
        <v>161</v>
      </c>
      <c r="O290" s="584" t="s">
        <v>51</v>
      </c>
      <c r="P290" s="584" t="s">
        <v>356</v>
      </c>
      <c r="Q290" s="614"/>
      <c r="R290" s="614"/>
      <c r="S290" s="568" t="s">
        <v>512</v>
      </c>
      <c r="T290" s="568" t="s">
        <v>40</v>
      </c>
      <c r="U290" s="235"/>
      <c r="V290" s="17"/>
      <c r="W290" s="17"/>
      <c r="X290" s="17"/>
      <c r="Y290" s="17"/>
    </row>
    <row r="291" spans="1:25" s="34" customFormat="1" ht="14.25" customHeight="1">
      <c r="A291" s="229"/>
      <c r="B291" s="229"/>
      <c r="C291" s="269"/>
      <c r="D291" s="224"/>
      <c r="E291" s="224"/>
      <c r="F291" s="254"/>
      <c r="G291" s="254"/>
      <c r="H291" s="583"/>
      <c r="I291" s="121">
        <v>2</v>
      </c>
      <c r="J291" s="78" t="s">
        <v>480</v>
      </c>
      <c r="K291" s="585"/>
      <c r="L291" s="585"/>
      <c r="M291" s="585"/>
      <c r="N291" s="585"/>
      <c r="O291" s="585"/>
      <c r="P291" s="585"/>
      <c r="Q291" s="615"/>
      <c r="R291" s="615"/>
      <c r="S291" s="569"/>
      <c r="T291" s="569"/>
      <c r="U291" s="236"/>
      <c r="V291" s="17"/>
      <c r="W291" s="17"/>
      <c r="X291" s="17"/>
      <c r="Y291" s="17"/>
    </row>
    <row r="292" spans="1:25" s="34" customFormat="1" ht="14.25" customHeight="1">
      <c r="A292" s="229"/>
      <c r="B292" s="229"/>
      <c r="C292" s="269"/>
      <c r="D292" s="224"/>
      <c r="E292" s="224"/>
      <c r="F292" s="254"/>
      <c r="G292" s="254"/>
      <c r="H292" s="583"/>
      <c r="I292" s="121">
        <v>3</v>
      </c>
      <c r="J292" s="78" t="s">
        <v>481</v>
      </c>
      <c r="K292" s="585"/>
      <c r="L292" s="585"/>
      <c r="M292" s="585"/>
      <c r="N292" s="585"/>
      <c r="O292" s="585"/>
      <c r="P292" s="585"/>
      <c r="Q292" s="615"/>
      <c r="R292" s="615"/>
      <c r="S292" s="569"/>
      <c r="T292" s="569"/>
      <c r="U292" s="236"/>
      <c r="V292" s="17"/>
      <c r="W292" s="17"/>
      <c r="X292" s="17"/>
      <c r="Y292" s="17"/>
    </row>
    <row r="293" spans="1:25" s="34" customFormat="1" ht="14.25" customHeight="1">
      <c r="A293" s="229"/>
      <c r="B293" s="229"/>
      <c r="C293" s="269"/>
      <c r="D293" s="224"/>
      <c r="E293" s="224"/>
      <c r="F293" s="254"/>
      <c r="G293" s="254"/>
      <c r="H293" s="583"/>
      <c r="I293" s="121">
        <v>4</v>
      </c>
      <c r="J293" s="63" t="s">
        <v>482</v>
      </c>
      <c r="K293" s="585"/>
      <c r="L293" s="585"/>
      <c r="M293" s="585"/>
      <c r="N293" s="585"/>
      <c r="O293" s="585"/>
      <c r="P293" s="585"/>
      <c r="Q293" s="615"/>
      <c r="R293" s="615"/>
      <c r="S293" s="569"/>
      <c r="T293" s="569"/>
      <c r="U293" s="236"/>
      <c r="V293" s="17"/>
      <c r="W293" s="17"/>
      <c r="X293" s="17"/>
      <c r="Y293" s="17"/>
    </row>
    <row r="294" spans="1:25" s="34" customFormat="1" ht="14.25" customHeight="1">
      <c r="A294" s="230"/>
      <c r="B294" s="230"/>
      <c r="C294" s="269"/>
      <c r="D294" s="224"/>
      <c r="E294" s="224"/>
      <c r="F294" s="254"/>
      <c r="G294" s="254"/>
      <c r="H294" s="583"/>
      <c r="I294" s="121">
        <v>5</v>
      </c>
      <c r="J294" s="78" t="s">
        <v>308</v>
      </c>
      <c r="K294" s="585"/>
      <c r="L294" s="585"/>
      <c r="M294" s="585"/>
      <c r="N294" s="585"/>
      <c r="O294" s="585"/>
      <c r="P294" s="585"/>
      <c r="Q294" s="615"/>
      <c r="R294" s="615"/>
      <c r="S294" s="569"/>
      <c r="T294" s="569"/>
      <c r="U294" s="236"/>
      <c r="V294" s="17"/>
      <c r="W294" s="17"/>
      <c r="X294" s="17"/>
      <c r="Y294" s="17"/>
    </row>
    <row r="295" spans="1:25" s="34" customFormat="1" ht="14.25" customHeight="1">
      <c r="A295" s="228" t="s">
        <v>493</v>
      </c>
      <c r="B295" s="228" t="s">
        <v>513</v>
      </c>
      <c r="C295" s="269"/>
      <c r="D295" s="224"/>
      <c r="E295" s="224"/>
      <c r="F295" s="254"/>
      <c r="G295" s="254"/>
      <c r="H295" s="583"/>
      <c r="I295" s="121">
        <v>6</v>
      </c>
      <c r="J295" s="78" t="s">
        <v>483</v>
      </c>
      <c r="K295" s="585"/>
      <c r="L295" s="585"/>
      <c r="M295" s="585"/>
      <c r="N295" s="585"/>
      <c r="O295" s="585"/>
      <c r="P295" s="585"/>
      <c r="Q295" s="615"/>
      <c r="R295" s="615"/>
      <c r="S295" s="569"/>
      <c r="T295" s="569"/>
      <c r="U295" s="236"/>
      <c r="V295" s="17"/>
      <c r="W295" s="17"/>
      <c r="X295" s="17"/>
      <c r="Y295" s="17"/>
    </row>
    <row r="296" spans="1:25" s="34" customFormat="1" ht="14.25" customHeight="1">
      <c r="A296" s="229"/>
      <c r="B296" s="229"/>
      <c r="C296" s="269"/>
      <c r="D296" s="224"/>
      <c r="E296" s="224"/>
      <c r="F296" s="254"/>
      <c r="G296" s="254"/>
      <c r="H296" s="583"/>
      <c r="I296" s="121">
        <v>7</v>
      </c>
      <c r="J296" s="63" t="s">
        <v>484</v>
      </c>
      <c r="K296" s="585"/>
      <c r="L296" s="585"/>
      <c r="M296" s="585"/>
      <c r="N296" s="585"/>
      <c r="O296" s="585"/>
      <c r="P296" s="585"/>
      <c r="Q296" s="615"/>
      <c r="R296" s="615"/>
      <c r="S296" s="569"/>
      <c r="T296" s="569"/>
      <c r="U296" s="236"/>
      <c r="V296" s="17"/>
      <c r="W296" s="17"/>
      <c r="X296" s="17"/>
      <c r="Y296" s="17"/>
    </row>
    <row r="297" spans="1:25" s="34" customFormat="1" ht="14.25" customHeight="1">
      <c r="A297" s="229"/>
      <c r="B297" s="229"/>
      <c r="C297" s="269"/>
      <c r="D297" s="224"/>
      <c r="E297" s="224"/>
      <c r="F297" s="254"/>
      <c r="G297" s="254"/>
      <c r="H297" s="583"/>
      <c r="I297" s="121">
        <v>8</v>
      </c>
      <c r="J297" s="78" t="s">
        <v>485</v>
      </c>
      <c r="K297" s="585"/>
      <c r="L297" s="585"/>
      <c r="M297" s="585"/>
      <c r="N297" s="585"/>
      <c r="O297" s="585"/>
      <c r="P297" s="585"/>
      <c r="Q297" s="615"/>
      <c r="R297" s="615"/>
      <c r="S297" s="569"/>
      <c r="T297" s="569"/>
      <c r="U297" s="236"/>
      <c r="V297" s="17"/>
      <c r="W297" s="17"/>
      <c r="X297" s="17"/>
      <c r="Y297" s="17"/>
    </row>
    <row r="298" spans="1:25" s="34" customFormat="1" ht="14.25" customHeight="1">
      <c r="A298" s="229"/>
      <c r="B298" s="229"/>
      <c r="C298" s="269"/>
      <c r="D298" s="224"/>
      <c r="E298" s="224"/>
      <c r="F298" s="254"/>
      <c r="G298" s="254"/>
      <c r="H298" s="583"/>
      <c r="I298" s="121">
        <v>9</v>
      </c>
      <c r="J298" s="78" t="s">
        <v>514</v>
      </c>
      <c r="K298" s="585"/>
      <c r="L298" s="585"/>
      <c r="M298" s="585"/>
      <c r="N298" s="585"/>
      <c r="O298" s="585"/>
      <c r="P298" s="585"/>
      <c r="Q298" s="615"/>
      <c r="R298" s="615"/>
      <c r="S298" s="569"/>
      <c r="T298" s="569"/>
      <c r="U298" s="236"/>
      <c r="V298" s="17"/>
      <c r="W298" s="17"/>
      <c r="X298" s="17"/>
      <c r="Y298" s="17"/>
    </row>
    <row r="299" spans="1:25" s="34" customFormat="1" ht="14.25" customHeight="1">
      <c r="A299" s="230"/>
      <c r="B299" s="230"/>
      <c r="C299" s="269"/>
      <c r="D299" s="224"/>
      <c r="E299" s="224"/>
      <c r="F299" s="254"/>
      <c r="G299" s="254"/>
      <c r="H299" s="583"/>
      <c r="I299" s="121">
        <v>10</v>
      </c>
      <c r="J299" s="78" t="s">
        <v>515</v>
      </c>
      <c r="K299" s="585"/>
      <c r="L299" s="585"/>
      <c r="M299" s="585"/>
      <c r="N299" s="585"/>
      <c r="O299" s="585"/>
      <c r="P299" s="585"/>
      <c r="Q299" s="615"/>
      <c r="R299" s="615"/>
      <c r="S299" s="569"/>
      <c r="T299" s="569"/>
      <c r="U299" s="236"/>
      <c r="V299" s="17"/>
      <c r="W299" s="17"/>
      <c r="X299" s="17"/>
      <c r="Y299" s="17"/>
    </row>
    <row r="300" spans="1:25" s="34" customFormat="1" ht="14.25" customHeight="1">
      <c r="A300" s="228" t="s">
        <v>487</v>
      </c>
      <c r="B300" s="228" t="s">
        <v>488</v>
      </c>
      <c r="C300" s="269"/>
      <c r="D300" s="224"/>
      <c r="E300" s="224"/>
      <c r="F300" s="254"/>
      <c r="G300" s="254"/>
      <c r="H300" s="583"/>
      <c r="I300" s="121">
        <v>11</v>
      </c>
      <c r="J300" s="78" t="s">
        <v>490</v>
      </c>
      <c r="K300" s="585"/>
      <c r="L300" s="585"/>
      <c r="M300" s="585"/>
      <c r="N300" s="585"/>
      <c r="O300" s="585"/>
      <c r="P300" s="585"/>
      <c r="Q300" s="615"/>
      <c r="R300" s="615"/>
      <c r="S300" s="569"/>
      <c r="T300" s="569"/>
      <c r="U300" s="236"/>
      <c r="V300" s="17"/>
      <c r="W300" s="17"/>
      <c r="X300" s="17"/>
      <c r="Y300" s="17"/>
    </row>
    <row r="301" spans="1:25" s="34" customFormat="1" ht="14.25" customHeight="1">
      <c r="A301" s="229"/>
      <c r="B301" s="229"/>
      <c r="C301" s="269"/>
      <c r="D301" s="224"/>
      <c r="E301" s="224"/>
      <c r="F301" s="254"/>
      <c r="G301" s="254"/>
      <c r="H301" s="583"/>
      <c r="I301" s="121">
        <v>12</v>
      </c>
      <c r="J301" s="78" t="s">
        <v>491</v>
      </c>
      <c r="K301" s="585"/>
      <c r="L301" s="585"/>
      <c r="M301" s="585"/>
      <c r="N301" s="585"/>
      <c r="O301" s="585"/>
      <c r="P301" s="585"/>
      <c r="Q301" s="615"/>
      <c r="R301" s="615"/>
      <c r="S301" s="569"/>
      <c r="T301" s="569"/>
      <c r="U301" s="236"/>
      <c r="V301" s="17"/>
      <c r="W301" s="17"/>
      <c r="X301" s="17"/>
      <c r="Y301" s="17"/>
    </row>
    <row r="302" spans="1:25" s="34" customFormat="1" ht="14.25" customHeight="1">
      <c r="A302" s="229"/>
      <c r="B302" s="229"/>
      <c r="C302" s="269"/>
      <c r="D302" s="224"/>
      <c r="E302" s="224"/>
      <c r="F302" s="254"/>
      <c r="G302" s="254"/>
      <c r="H302" s="583"/>
      <c r="I302" s="121">
        <v>13</v>
      </c>
      <c r="J302" s="78" t="s">
        <v>492</v>
      </c>
      <c r="K302" s="585"/>
      <c r="L302" s="585"/>
      <c r="M302" s="585"/>
      <c r="N302" s="585"/>
      <c r="O302" s="585"/>
      <c r="P302" s="585"/>
      <c r="Q302" s="615"/>
      <c r="R302" s="615"/>
      <c r="S302" s="569"/>
      <c r="T302" s="569"/>
      <c r="U302" s="236"/>
      <c r="V302" s="17"/>
      <c r="W302" s="17"/>
      <c r="X302" s="17"/>
      <c r="Y302" s="17"/>
    </row>
    <row r="303" spans="1:25" s="34" customFormat="1" ht="14.25" customHeight="1">
      <c r="A303" s="229"/>
      <c r="B303" s="229"/>
      <c r="C303" s="269"/>
      <c r="D303" s="224"/>
      <c r="E303" s="224"/>
      <c r="F303" s="254"/>
      <c r="G303" s="254"/>
      <c r="H303" s="583"/>
      <c r="I303" s="121">
        <v>14</v>
      </c>
      <c r="J303" s="78" t="s">
        <v>516</v>
      </c>
      <c r="K303" s="585"/>
      <c r="L303" s="585"/>
      <c r="M303" s="585"/>
      <c r="N303" s="585"/>
      <c r="O303" s="585"/>
      <c r="P303" s="585"/>
      <c r="Q303" s="615"/>
      <c r="R303" s="615"/>
      <c r="S303" s="569"/>
      <c r="T303" s="569"/>
      <c r="U303" s="236"/>
      <c r="V303" s="17"/>
      <c r="W303" s="17"/>
      <c r="X303" s="17"/>
      <c r="Y303" s="17"/>
    </row>
    <row r="304" spans="1:25" s="34" customFormat="1" ht="14.25" customHeight="1">
      <c r="A304" s="229"/>
      <c r="B304" s="229"/>
      <c r="C304" s="269"/>
      <c r="D304" s="224"/>
      <c r="E304" s="224"/>
      <c r="F304" s="254"/>
      <c r="G304" s="254"/>
      <c r="H304" s="583"/>
      <c r="I304" s="121">
        <v>15</v>
      </c>
      <c r="J304" s="78" t="s">
        <v>496</v>
      </c>
      <c r="K304" s="585"/>
      <c r="L304" s="585"/>
      <c r="M304" s="585"/>
      <c r="N304" s="585"/>
      <c r="O304" s="585"/>
      <c r="P304" s="585"/>
      <c r="Q304" s="615"/>
      <c r="R304" s="615"/>
      <c r="S304" s="569"/>
      <c r="T304" s="569"/>
      <c r="U304" s="236"/>
      <c r="V304" s="17"/>
      <c r="W304" s="17"/>
      <c r="X304" s="17"/>
      <c r="Y304" s="17"/>
    </row>
    <row r="305" spans="1:25" s="34" customFormat="1" ht="14.25" customHeight="1">
      <c r="A305" s="229"/>
      <c r="B305" s="229"/>
      <c r="C305" s="269"/>
      <c r="D305" s="224"/>
      <c r="E305" s="224"/>
      <c r="F305" s="254"/>
      <c r="G305" s="254"/>
      <c r="H305" s="583"/>
      <c r="I305" s="121">
        <v>16</v>
      </c>
      <c r="J305" s="78" t="s">
        <v>517</v>
      </c>
      <c r="K305" s="585"/>
      <c r="L305" s="585"/>
      <c r="M305" s="585"/>
      <c r="N305" s="585"/>
      <c r="O305" s="585"/>
      <c r="P305" s="585"/>
      <c r="Q305" s="615"/>
      <c r="R305" s="615"/>
      <c r="S305" s="569"/>
      <c r="T305" s="569"/>
      <c r="U305" s="236"/>
      <c r="V305" s="17"/>
      <c r="W305" s="17"/>
      <c r="X305" s="17"/>
      <c r="Y305" s="17"/>
    </row>
    <row r="306" spans="1:25" s="34" customFormat="1" ht="14.25" customHeight="1">
      <c r="A306" s="247" t="s">
        <v>518</v>
      </c>
      <c r="B306" s="247" t="s">
        <v>519</v>
      </c>
      <c r="C306" s="480"/>
      <c r="D306" s="224"/>
      <c r="E306" s="224"/>
      <c r="F306" s="254"/>
      <c r="G306" s="254"/>
      <c r="H306" s="583"/>
      <c r="I306" s="121">
        <v>17</v>
      </c>
      <c r="J306" s="78" t="s">
        <v>500</v>
      </c>
      <c r="K306" s="585"/>
      <c r="L306" s="585"/>
      <c r="M306" s="585"/>
      <c r="N306" s="585"/>
      <c r="O306" s="585"/>
      <c r="P306" s="585"/>
      <c r="Q306" s="615"/>
      <c r="R306" s="615"/>
      <c r="S306" s="569"/>
      <c r="T306" s="569"/>
      <c r="U306" s="236"/>
      <c r="V306" s="17"/>
      <c r="W306" s="17"/>
      <c r="X306" s="17"/>
      <c r="Y306" s="17"/>
    </row>
    <row r="307" spans="1:25" s="34" customFormat="1" ht="14.25" customHeight="1">
      <c r="A307" s="247"/>
      <c r="B307" s="247"/>
      <c r="C307" s="480"/>
      <c r="D307" s="224"/>
      <c r="E307" s="224"/>
      <c r="F307" s="254"/>
      <c r="G307" s="254"/>
      <c r="H307" s="583"/>
      <c r="I307" s="121">
        <v>18</v>
      </c>
      <c r="J307" s="63" t="s">
        <v>502</v>
      </c>
      <c r="K307" s="585"/>
      <c r="L307" s="585"/>
      <c r="M307" s="585"/>
      <c r="N307" s="585"/>
      <c r="O307" s="585"/>
      <c r="P307" s="585"/>
      <c r="Q307" s="615"/>
      <c r="R307" s="615"/>
      <c r="S307" s="569"/>
      <c r="T307" s="569"/>
      <c r="U307" s="236"/>
      <c r="V307" s="17"/>
      <c r="W307" s="17"/>
      <c r="X307" s="17"/>
      <c r="Y307" s="17"/>
    </row>
    <row r="308" spans="1:25" s="34" customFormat="1" ht="14.25" customHeight="1">
      <c r="A308" s="247"/>
      <c r="B308" s="247"/>
      <c r="C308" s="480"/>
      <c r="D308" s="224"/>
      <c r="E308" s="224"/>
      <c r="F308" s="254"/>
      <c r="G308" s="254"/>
      <c r="H308" s="583"/>
      <c r="I308" s="100">
        <v>19</v>
      </c>
      <c r="J308" s="63" t="s">
        <v>503</v>
      </c>
      <c r="K308" s="585"/>
      <c r="L308" s="585"/>
      <c r="M308" s="585"/>
      <c r="N308" s="585"/>
      <c r="O308" s="585"/>
      <c r="P308" s="585"/>
      <c r="Q308" s="615"/>
      <c r="R308" s="615"/>
      <c r="S308" s="569"/>
      <c r="T308" s="569"/>
      <c r="U308" s="236"/>
      <c r="V308" s="17"/>
      <c r="W308" s="17"/>
      <c r="X308" s="17"/>
      <c r="Y308" s="17"/>
    </row>
    <row r="309" spans="1:25" s="34" customFormat="1" ht="14.25" customHeight="1">
      <c r="A309" s="228" t="s">
        <v>520</v>
      </c>
      <c r="B309" s="228" t="s">
        <v>521</v>
      </c>
      <c r="C309" s="269"/>
      <c r="D309" s="224"/>
      <c r="E309" s="224"/>
      <c r="F309" s="254"/>
      <c r="G309" s="254"/>
      <c r="H309" s="583"/>
      <c r="I309" s="100">
        <v>20</v>
      </c>
      <c r="J309" s="63" t="s">
        <v>506</v>
      </c>
      <c r="K309" s="585"/>
      <c r="L309" s="585"/>
      <c r="M309" s="585"/>
      <c r="N309" s="585"/>
      <c r="O309" s="585"/>
      <c r="P309" s="585"/>
      <c r="Q309" s="615"/>
      <c r="R309" s="615"/>
      <c r="S309" s="569"/>
      <c r="T309" s="569"/>
      <c r="U309" s="236"/>
      <c r="V309" s="17"/>
      <c r="W309" s="17"/>
      <c r="X309" s="17"/>
      <c r="Y309" s="17"/>
    </row>
    <row r="310" spans="1:25" s="34" customFormat="1" ht="14.25" customHeight="1">
      <c r="A310" s="229"/>
      <c r="B310" s="229"/>
      <c r="C310" s="269"/>
      <c r="D310" s="224"/>
      <c r="E310" s="224"/>
      <c r="F310" s="254"/>
      <c r="G310" s="254"/>
      <c r="H310" s="583"/>
      <c r="I310" s="100">
        <v>21</v>
      </c>
      <c r="J310" s="63" t="s">
        <v>287</v>
      </c>
      <c r="K310" s="585"/>
      <c r="L310" s="585"/>
      <c r="M310" s="585"/>
      <c r="N310" s="585"/>
      <c r="O310" s="585"/>
      <c r="P310" s="585"/>
      <c r="Q310" s="615"/>
      <c r="R310" s="615"/>
      <c r="S310" s="569"/>
      <c r="T310" s="569"/>
      <c r="U310" s="236"/>
      <c r="V310" s="17"/>
      <c r="W310" s="17"/>
      <c r="X310" s="17"/>
      <c r="Y310" s="17"/>
    </row>
    <row r="311" spans="1:25" s="34" customFormat="1" ht="14.25" customHeight="1">
      <c r="A311" s="230"/>
      <c r="B311" s="230"/>
      <c r="C311" s="269"/>
      <c r="D311" s="224"/>
      <c r="E311" s="224"/>
      <c r="F311" s="254"/>
      <c r="G311" s="254"/>
      <c r="H311" s="583"/>
      <c r="I311" s="122">
        <v>77</v>
      </c>
      <c r="J311" s="37" t="s">
        <v>508</v>
      </c>
      <c r="K311" s="585"/>
      <c r="L311" s="585"/>
      <c r="M311" s="585"/>
      <c r="N311" s="585"/>
      <c r="O311" s="585"/>
      <c r="P311" s="585"/>
      <c r="Q311" s="615"/>
      <c r="R311" s="615"/>
      <c r="S311" s="569"/>
      <c r="T311" s="569"/>
      <c r="U311" s="622"/>
      <c r="V311" s="48"/>
      <c r="W311" s="48"/>
      <c r="X311" s="48"/>
      <c r="Y311" s="48"/>
    </row>
    <row r="312" spans="1:25" ht="18" customHeight="1">
      <c r="A312" s="223" t="s">
        <v>522</v>
      </c>
      <c r="B312" s="223" t="s">
        <v>523</v>
      </c>
      <c r="C312" s="223" t="s">
        <v>225</v>
      </c>
      <c r="D312" s="224">
        <v>25</v>
      </c>
      <c r="E312" s="224" t="s">
        <v>524</v>
      </c>
      <c r="F312" s="269" t="s">
        <v>477</v>
      </c>
      <c r="G312" s="254" t="s">
        <v>525</v>
      </c>
      <c r="H312" s="270"/>
      <c r="I312" s="100">
        <v>1</v>
      </c>
      <c r="J312" s="15" t="s">
        <v>120</v>
      </c>
      <c r="K312" s="247" t="s">
        <v>46</v>
      </c>
      <c r="L312" s="247">
        <v>1</v>
      </c>
      <c r="M312" s="247"/>
      <c r="N312" s="328" t="s">
        <v>50</v>
      </c>
      <c r="O312" s="456" t="s">
        <v>51</v>
      </c>
      <c r="P312" s="456" t="s">
        <v>45</v>
      </c>
      <c r="Q312" s="295"/>
      <c r="R312" s="295"/>
      <c r="S312" s="241"/>
      <c r="T312" s="241"/>
      <c r="U312" s="241"/>
      <c r="V312" s="241"/>
      <c r="W312" s="241"/>
      <c r="X312" s="241"/>
      <c r="Y312" s="241"/>
    </row>
    <row r="313" spans="1:25" ht="20.25" customHeight="1">
      <c r="A313" s="223"/>
      <c r="B313" s="223"/>
      <c r="C313" s="223"/>
      <c r="D313" s="224"/>
      <c r="E313" s="224"/>
      <c r="F313" s="269"/>
      <c r="G313" s="254"/>
      <c r="H313" s="270"/>
      <c r="I313" s="100">
        <v>2</v>
      </c>
      <c r="J313" s="15" t="s">
        <v>119</v>
      </c>
      <c r="K313" s="247"/>
      <c r="L313" s="247"/>
      <c r="M313" s="247"/>
      <c r="N313" s="329"/>
      <c r="O313" s="457"/>
      <c r="P313" s="457"/>
      <c r="Q313" s="296"/>
      <c r="R313" s="296"/>
      <c r="S313" s="242"/>
      <c r="T313" s="242"/>
      <c r="U313" s="242"/>
      <c r="V313" s="242"/>
      <c r="W313" s="242"/>
      <c r="X313" s="242"/>
      <c r="Y313" s="242"/>
    </row>
    <row r="314" spans="1:25" ht="20.25" customHeight="1">
      <c r="A314" s="223"/>
      <c r="B314" s="223"/>
      <c r="C314" s="223"/>
      <c r="D314" s="224"/>
      <c r="E314" s="224"/>
      <c r="F314" s="269"/>
      <c r="G314" s="254"/>
      <c r="H314" s="270"/>
      <c r="I314" s="100">
        <v>77</v>
      </c>
      <c r="J314" s="15" t="s">
        <v>155</v>
      </c>
      <c r="K314" s="247"/>
      <c r="L314" s="247"/>
      <c r="M314" s="247"/>
      <c r="N314" s="329"/>
      <c r="O314" s="457"/>
      <c r="P314" s="457"/>
      <c r="Q314" s="296"/>
      <c r="R314" s="296"/>
      <c r="S314" s="242"/>
      <c r="T314" s="242"/>
      <c r="U314" s="242"/>
      <c r="V314" s="242"/>
      <c r="W314" s="242"/>
      <c r="X314" s="242"/>
      <c r="Y314" s="242"/>
    </row>
    <row r="315" spans="1:25" ht="20.25" customHeight="1">
      <c r="A315" s="263" t="s">
        <v>526</v>
      </c>
      <c r="B315" s="263" t="s">
        <v>527</v>
      </c>
      <c r="C315" s="263" t="s">
        <v>129</v>
      </c>
      <c r="D315" s="479">
        <v>25</v>
      </c>
      <c r="E315" s="479" t="s">
        <v>528</v>
      </c>
      <c r="F315" s="263" t="s">
        <v>529</v>
      </c>
      <c r="G315" s="254" t="s">
        <v>530</v>
      </c>
      <c r="H315" s="267" t="s">
        <v>40</v>
      </c>
      <c r="I315" s="106">
        <v>1</v>
      </c>
      <c r="J315" s="49" t="s">
        <v>531</v>
      </c>
      <c r="K315" s="541" t="s">
        <v>46</v>
      </c>
      <c r="L315" s="541">
        <v>1</v>
      </c>
      <c r="M315" s="541"/>
      <c r="N315" s="541" t="s">
        <v>50</v>
      </c>
      <c r="O315" s="541" t="s">
        <v>51</v>
      </c>
      <c r="P315" s="541" t="s">
        <v>45</v>
      </c>
      <c r="Q315" s="617"/>
      <c r="R315" s="617"/>
      <c r="S315" s="541"/>
      <c r="T315" s="541"/>
      <c r="U315" s="140"/>
      <c r="V315" s="149"/>
      <c r="W315" s="57"/>
      <c r="X315" s="57"/>
      <c r="Y315" s="57"/>
    </row>
    <row r="316" spans="1:25" ht="35.25" customHeight="1">
      <c r="A316" s="263"/>
      <c r="B316" s="263"/>
      <c r="C316" s="263"/>
      <c r="D316" s="479"/>
      <c r="E316" s="479"/>
      <c r="F316" s="263"/>
      <c r="G316" s="254"/>
      <c r="H316" s="267"/>
      <c r="I316" s="106">
        <v>2</v>
      </c>
      <c r="J316" s="49" t="s">
        <v>532</v>
      </c>
      <c r="K316" s="542"/>
      <c r="L316" s="542"/>
      <c r="M316" s="542"/>
      <c r="N316" s="542"/>
      <c r="O316" s="542"/>
      <c r="P316" s="542"/>
      <c r="Q316" s="618"/>
      <c r="R316" s="618"/>
      <c r="S316" s="542"/>
      <c r="T316" s="542"/>
      <c r="U316" s="140"/>
      <c r="V316" s="149"/>
      <c r="W316" s="57"/>
      <c r="X316" s="57"/>
      <c r="Y316" s="57"/>
    </row>
    <row r="317" spans="1:25" ht="21.75" customHeight="1">
      <c r="A317" s="263"/>
      <c r="B317" s="263"/>
      <c r="C317" s="263"/>
      <c r="D317" s="479"/>
      <c r="E317" s="479"/>
      <c r="F317" s="263"/>
      <c r="G317" s="254"/>
      <c r="H317" s="267"/>
      <c r="I317" s="106">
        <v>3</v>
      </c>
      <c r="J317" s="49" t="s">
        <v>533</v>
      </c>
      <c r="K317" s="542"/>
      <c r="L317" s="542"/>
      <c r="M317" s="542"/>
      <c r="N317" s="542"/>
      <c r="O317" s="542"/>
      <c r="P317" s="542"/>
      <c r="Q317" s="618"/>
      <c r="R317" s="618"/>
      <c r="S317" s="542"/>
      <c r="T317" s="542"/>
      <c r="U317" s="140"/>
      <c r="V317" s="149"/>
      <c r="W317" s="57"/>
      <c r="X317" s="57"/>
      <c r="Y317" s="57"/>
    </row>
    <row r="318" spans="1:25" ht="20.25" customHeight="1">
      <c r="A318" s="263"/>
      <c r="B318" s="263"/>
      <c r="C318" s="263"/>
      <c r="D318" s="479"/>
      <c r="E318" s="479"/>
      <c r="F318" s="263"/>
      <c r="G318" s="254"/>
      <c r="H318" s="267"/>
      <c r="I318" s="106">
        <v>4</v>
      </c>
      <c r="J318" s="49" t="s">
        <v>534</v>
      </c>
      <c r="K318" s="542"/>
      <c r="L318" s="542"/>
      <c r="M318" s="542"/>
      <c r="N318" s="542"/>
      <c r="O318" s="542"/>
      <c r="P318" s="542"/>
      <c r="Q318" s="618"/>
      <c r="R318" s="618"/>
      <c r="S318" s="542"/>
      <c r="T318" s="542"/>
      <c r="U318" s="140"/>
      <c r="V318" s="149"/>
      <c r="W318" s="57"/>
      <c r="X318" s="57"/>
      <c r="Y318" s="57"/>
    </row>
    <row r="319" spans="1:25" ht="20.25" customHeight="1">
      <c r="A319" s="263"/>
      <c r="B319" s="263"/>
      <c r="C319" s="263"/>
      <c r="D319" s="479"/>
      <c r="E319" s="479"/>
      <c r="F319" s="263"/>
      <c r="G319" s="254"/>
      <c r="H319" s="267"/>
      <c r="I319" s="104">
        <v>77</v>
      </c>
      <c r="J319" s="16" t="s">
        <v>155</v>
      </c>
      <c r="K319" s="543"/>
      <c r="L319" s="543"/>
      <c r="M319" s="543"/>
      <c r="N319" s="543"/>
      <c r="O319" s="543"/>
      <c r="P319" s="543"/>
      <c r="Q319" s="619"/>
      <c r="R319" s="619"/>
      <c r="S319" s="543"/>
      <c r="T319" s="543"/>
      <c r="U319" s="140"/>
      <c r="V319" s="149"/>
      <c r="W319" s="57"/>
      <c r="X319" s="57"/>
      <c r="Y319" s="57"/>
    </row>
    <row r="320" spans="1:25" ht="20.25" customHeight="1">
      <c r="A320" s="630" t="s">
        <v>535</v>
      </c>
      <c r="B320" s="630" t="s">
        <v>536</v>
      </c>
      <c r="C320" s="495" t="s">
        <v>129</v>
      </c>
      <c r="D320" s="479">
        <v>26</v>
      </c>
      <c r="E320" s="479" t="s">
        <v>537</v>
      </c>
      <c r="F320" s="263" t="s">
        <v>538</v>
      </c>
      <c r="G320" s="263" t="s">
        <v>539</v>
      </c>
      <c r="H320" s="267" t="s">
        <v>40</v>
      </c>
      <c r="I320" s="106">
        <v>1</v>
      </c>
      <c r="J320" s="49" t="s">
        <v>540</v>
      </c>
      <c r="K320" s="248" t="s">
        <v>46</v>
      </c>
      <c r="L320" s="248">
        <v>1</v>
      </c>
      <c r="M320" s="248"/>
      <c r="N320" s="248" t="s">
        <v>50</v>
      </c>
      <c r="O320" s="248" t="s">
        <v>51</v>
      </c>
      <c r="P320" s="248" t="s">
        <v>45</v>
      </c>
      <c r="Q320" s="544"/>
      <c r="R320" s="544"/>
      <c r="S320" s="248"/>
      <c r="T320" s="57"/>
      <c r="U320" s="140"/>
      <c r="V320" s="149"/>
      <c r="W320" s="57"/>
      <c r="X320" s="57"/>
      <c r="Y320" s="57"/>
    </row>
    <row r="321" spans="1:25" ht="20.25" customHeight="1">
      <c r="A321" s="630"/>
      <c r="B321" s="630"/>
      <c r="C321" s="495"/>
      <c r="D321" s="479"/>
      <c r="E321" s="479"/>
      <c r="F321" s="263"/>
      <c r="G321" s="263"/>
      <c r="H321" s="267"/>
      <c r="I321" s="106">
        <v>2</v>
      </c>
      <c r="J321" s="49" t="s">
        <v>541</v>
      </c>
      <c r="K321" s="249"/>
      <c r="L321" s="249"/>
      <c r="M321" s="249"/>
      <c r="N321" s="249"/>
      <c r="O321" s="249"/>
      <c r="P321" s="249"/>
      <c r="Q321" s="545"/>
      <c r="R321" s="545"/>
      <c r="S321" s="249"/>
      <c r="T321" s="57"/>
      <c r="U321" s="140"/>
      <c r="V321" s="149"/>
      <c r="W321" s="57"/>
      <c r="X321" s="57"/>
      <c r="Y321" s="57"/>
    </row>
    <row r="322" spans="1:25" ht="20.25" customHeight="1">
      <c r="A322" s="630"/>
      <c r="B322" s="630"/>
      <c r="C322" s="495"/>
      <c r="D322" s="479"/>
      <c r="E322" s="479"/>
      <c r="F322" s="263"/>
      <c r="G322" s="263"/>
      <c r="H322" s="267"/>
      <c r="I322" s="106">
        <v>77</v>
      </c>
      <c r="J322" s="49" t="s">
        <v>155</v>
      </c>
      <c r="K322" s="250"/>
      <c r="L322" s="250"/>
      <c r="M322" s="250"/>
      <c r="N322" s="250"/>
      <c r="O322" s="250"/>
      <c r="P322" s="250"/>
      <c r="Q322" s="546"/>
      <c r="R322" s="546"/>
      <c r="S322" s="250"/>
      <c r="T322" s="57"/>
      <c r="U322" s="140"/>
      <c r="V322" s="149"/>
      <c r="W322" s="57"/>
      <c r="X322" s="57"/>
      <c r="Y322" s="57"/>
    </row>
    <row r="323" spans="1:25" ht="14.25" customHeight="1">
      <c r="A323" s="150" t="s">
        <v>542</v>
      </c>
      <c r="B323" s="150" t="s">
        <v>543</v>
      </c>
      <c r="C323" s="263" t="s">
        <v>146</v>
      </c>
      <c r="D323" s="479">
        <v>26</v>
      </c>
      <c r="E323" s="479" t="s">
        <v>544</v>
      </c>
      <c r="F323" s="263" t="s">
        <v>165</v>
      </c>
      <c r="G323" s="263" t="s">
        <v>545</v>
      </c>
      <c r="H323" s="267" t="s">
        <v>40</v>
      </c>
      <c r="I323" s="106">
        <v>1</v>
      </c>
      <c r="J323" s="49" t="s">
        <v>540</v>
      </c>
      <c r="K323" s="271" t="s">
        <v>46</v>
      </c>
      <c r="L323" s="271">
        <v>1</v>
      </c>
      <c r="M323" s="271" t="s">
        <v>40</v>
      </c>
      <c r="N323" s="509" t="s">
        <v>50</v>
      </c>
      <c r="O323" s="216" t="s">
        <v>51</v>
      </c>
      <c r="P323" s="509" t="s">
        <v>45</v>
      </c>
      <c r="Q323" s="492"/>
      <c r="R323" s="492"/>
      <c r="S323" s="657" t="s">
        <v>40</v>
      </c>
      <c r="T323" s="320" t="s">
        <v>546</v>
      </c>
      <c r="U323" s="320"/>
      <c r="V323" s="320"/>
      <c r="W323" s="320" t="s">
        <v>40</v>
      </c>
      <c r="X323" s="320" t="s">
        <v>40</v>
      </c>
      <c r="Y323" s="320" t="s">
        <v>40</v>
      </c>
    </row>
    <row r="324" spans="1:25" ht="14.25" customHeight="1">
      <c r="A324" s="459" t="s">
        <v>547</v>
      </c>
      <c r="B324" s="660" t="s">
        <v>548</v>
      </c>
      <c r="C324" s="263"/>
      <c r="D324" s="479"/>
      <c r="E324" s="479"/>
      <c r="F324" s="263"/>
      <c r="G324" s="263"/>
      <c r="H324" s="267"/>
      <c r="I324" s="106">
        <v>2</v>
      </c>
      <c r="J324" s="49" t="s">
        <v>541</v>
      </c>
      <c r="K324" s="271"/>
      <c r="L324" s="271"/>
      <c r="M324" s="271"/>
      <c r="N324" s="510"/>
      <c r="O324" s="326"/>
      <c r="P324" s="510"/>
      <c r="Q324" s="493"/>
      <c r="R324" s="493"/>
      <c r="S324" s="658"/>
      <c r="T324" s="321"/>
      <c r="U324" s="321"/>
      <c r="V324" s="321"/>
      <c r="W324" s="321"/>
      <c r="X324" s="321"/>
      <c r="Y324" s="321"/>
    </row>
    <row r="325" spans="1:25" ht="14.25" customHeight="1">
      <c r="A325" s="461"/>
      <c r="B325" s="661"/>
      <c r="C325" s="263"/>
      <c r="D325" s="479"/>
      <c r="E325" s="479"/>
      <c r="F325" s="263"/>
      <c r="G325" s="263"/>
      <c r="H325" s="267"/>
      <c r="I325" s="106">
        <v>77</v>
      </c>
      <c r="J325" s="49" t="s">
        <v>155</v>
      </c>
      <c r="K325" s="271"/>
      <c r="L325" s="271"/>
      <c r="M325" s="271"/>
      <c r="N325" s="511"/>
      <c r="O325" s="217"/>
      <c r="P325" s="511"/>
      <c r="Q325" s="540"/>
      <c r="R325" s="540"/>
      <c r="S325" s="659"/>
      <c r="T325" s="322"/>
      <c r="U325" s="327"/>
      <c r="V325" s="327"/>
      <c r="W325" s="327"/>
      <c r="X325" s="327"/>
      <c r="Y325" s="327"/>
    </row>
    <row r="326" spans="1:25" ht="18" customHeight="1">
      <c r="A326" s="223" t="s">
        <v>547</v>
      </c>
      <c r="B326" s="223" t="s">
        <v>548</v>
      </c>
      <c r="C326" s="223" t="s">
        <v>225</v>
      </c>
      <c r="D326" s="224">
        <v>26</v>
      </c>
      <c r="E326" s="224" t="s">
        <v>549</v>
      </c>
      <c r="F326" s="409" t="s">
        <v>550</v>
      </c>
      <c r="G326" s="254" t="s">
        <v>551</v>
      </c>
      <c r="H326" s="270"/>
      <c r="I326" s="100">
        <v>1</v>
      </c>
      <c r="J326" s="15" t="s">
        <v>540</v>
      </c>
      <c r="K326" s="247" t="s">
        <v>46</v>
      </c>
      <c r="L326" s="247">
        <v>1</v>
      </c>
      <c r="M326" s="247"/>
      <c r="N326" s="328" t="s">
        <v>50</v>
      </c>
      <c r="O326" s="456" t="s">
        <v>51</v>
      </c>
      <c r="P326" s="456" t="s">
        <v>45</v>
      </c>
      <c r="Q326" s="406"/>
      <c r="R326" s="406"/>
      <c r="S326" s="241"/>
      <c r="T326" s="241"/>
      <c r="U326" s="241"/>
      <c r="V326" s="241"/>
      <c r="W326" s="241"/>
      <c r="X326" s="241"/>
      <c r="Y326" s="241"/>
    </row>
    <row r="327" spans="1:25" ht="20.25" customHeight="1">
      <c r="A327" s="223"/>
      <c r="B327" s="223"/>
      <c r="C327" s="223"/>
      <c r="D327" s="224"/>
      <c r="E327" s="224"/>
      <c r="F327" s="409"/>
      <c r="G327" s="254"/>
      <c r="H327" s="270"/>
      <c r="I327" s="100">
        <v>2</v>
      </c>
      <c r="J327" s="15" t="s">
        <v>541</v>
      </c>
      <c r="K327" s="247"/>
      <c r="L327" s="247"/>
      <c r="M327" s="247"/>
      <c r="N327" s="329"/>
      <c r="O327" s="457"/>
      <c r="P327" s="457"/>
      <c r="Q327" s="407"/>
      <c r="R327" s="407"/>
      <c r="S327" s="242"/>
      <c r="T327" s="242"/>
      <c r="U327" s="242"/>
      <c r="V327" s="242"/>
      <c r="W327" s="242"/>
      <c r="X327" s="242"/>
      <c r="Y327" s="242"/>
    </row>
    <row r="328" spans="1:25" ht="20.25" customHeight="1">
      <c r="A328" s="223"/>
      <c r="B328" s="223"/>
      <c r="C328" s="223"/>
      <c r="D328" s="224"/>
      <c r="E328" s="224"/>
      <c r="F328" s="409"/>
      <c r="G328" s="254"/>
      <c r="H328" s="270"/>
      <c r="I328" s="100">
        <v>77</v>
      </c>
      <c r="J328" s="15" t="s">
        <v>155</v>
      </c>
      <c r="K328" s="247"/>
      <c r="L328" s="247"/>
      <c r="M328" s="247"/>
      <c r="N328" s="330"/>
      <c r="O328" s="458"/>
      <c r="P328" s="458"/>
      <c r="Q328" s="408"/>
      <c r="R328" s="408"/>
      <c r="S328" s="243"/>
      <c r="T328" s="243"/>
      <c r="U328" s="243"/>
      <c r="V328" s="243"/>
      <c r="W328" s="243"/>
      <c r="X328" s="243"/>
      <c r="Y328" s="243"/>
    </row>
    <row r="329" spans="1:25" ht="186">
      <c r="D329" s="170">
        <v>27</v>
      </c>
      <c r="E329" s="170" t="s">
        <v>552</v>
      </c>
      <c r="G329" s="15" t="s">
        <v>553</v>
      </c>
      <c r="H329" s="128"/>
      <c r="I329" s="100"/>
      <c r="J329" s="15"/>
      <c r="K329" s="101" t="s">
        <v>46</v>
      </c>
      <c r="L329" s="101">
        <v>1</v>
      </c>
      <c r="N329" s="155" t="s">
        <v>44</v>
      </c>
      <c r="O329" s="155"/>
      <c r="P329" s="155"/>
      <c r="Q329" s="208"/>
      <c r="R329" s="208"/>
      <c r="S329" s="42"/>
      <c r="T329" s="42"/>
      <c r="U329" s="42"/>
      <c r="V329" s="42"/>
      <c r="W329" s="42"/>
      <c r="X329" s="42"/>
      <c r="Y329" s="42"/>
    </row>
    <row r="330" spans="1:25" ht="18" customHeight="1">
      <c r="A330" s="228"/>
      <c r="B330" s="228"/>
      <c r="C330" s="228"/>
      <c r="D330" s="232">
        <v>27</v>
      </c>
      <c r="E330" s="232" t="s">
        <v>554</v>
      </c>
      <c r="F330" s="228"/>
      <c r="G330" s="643" t="s">
        <v>555</v>
      </c>
      <c r="H330" s="626"/>
      <c r="I330" s="107">
        <v>1</v>
      </c>
      <c r="J330" s="51" t="s">
        <v>119</v>
      </c>
      <c r="K330" s="228" t="s">
        <v>46</v>
      </c>
      <c r="L330" s="228">
        <v>1</v>
      </c>
      <c r="M330" s="228"/>
      <c r="N330" s="228" t="s">
        <v>50</v>
      </c>
      <c r="O330" s="228" t="s">
        <v>51</v>
      </c>
      <c r="P330" s="228" t="s">
        <v>45</v>
      </c>
      <c r="Q330" s="561"/>
      <c r="R330" s="561"/>
      <c r="S330" s="228"/>
      <c r="T330" s="34"/>
      <c r="U330" s="328"/>
      <c r="V330" s="328"/>
      <c r="W330" s="328"/>
      <c r="X330" s="328"/>
      <c r="Y330" s="328"/>
    </row>
    <row r="331" spans="1:25" ht="18" customHeight="1">
      <c r="A331" s="229"/>
      <c r="B331" s="229"/>
      <c r="C331" s="229"/>
      <c r="D331" s="233"/>
      <c r="E331" s="233"/>
      <c r="F331" s="229"/>
      <c r="G331" s="644"/>
      <c r="H331" s="627"/>
      <c r="I331" s="107">
        <v>2</v>
      </c>
      <c r="J331" s="51" t="s">
        <v>120</v>
      </c>
      <c r="K331" s="229"/>
      <c r="L331" s="229"/>
      <c r="M331" s="229"/>
      <c r="N331" s="229"/>
      <c r="O331" s="229"/>
      <c r="P331" s="229"/>
      <c r="Q331" s="562"/>
      <c r="R331" s="562"/>
      <c r="S331" s="229"/>
      <c r="T331" s="34"/>
      <c r="U331" s="329"/>
      <c r="V331" s="329"/>
      <c r="W331" s="329"/>
      <c r="X331" s="329"/>
      <c r="Y331" s="329"/>
    </row>
    <row r="332" spans="1:25" ht="28.5" customHeight="1">
      <c r="A332" s="230"/>
      <c r="B332" s="230"/>
      <c r="C332" s="230"/>
      <c r="D332" s="234"/>
      <c r="E332" s="234"/>
      <c r="F332" s="230"/>
      <c r="G332" s="645"/>
      <c r="H332" s="628"/>
      <c r="I332" s="107">
        <v>77</v>
      </c>
      <c r="J332" s="51" t="s">
        <v>155</v>
      </c>
      <c r="K332" s="230"/>
      <c r="L332" s="230"/>
      <c r="M332" s="230"/>
      <c r="N332" s="230"/>
      <c r="O332" s="230"/>
      <c r="P332" s="230"/>
      <c r="Q332" s="563"/>
      <c r="R332" s="563"/>
      <c r="S332" s="230"/>
      <c r="T332" s="34"/>
      <c r="U332" s="330"/>
      <c r="V332" s="330"/>
      <c r="W332" s="330"/>
      <c r="X332" s="330"/>
      <c r="Y332" s="330"/>
    </row>
    <row r="333" spans="1:25" ht="17.25" customHeight="1">
      <c r="A333" s="49" t="s">
        <v>556</v>
      </c>
      <c r="B333" s="49" t="s">
        <v>557</v>
      </c>
      <c r="C333" s="49" t="s">
        <v>225</v>
      </c>
      <c r="D333" s="479">
        <v>28</v>
      </c>
      <c r="E333" s="479" t="s">
        <v>558</v>
      </c>
      <c r="F333" s="599" t="s">
        <v>559</v>
      </c>
      <c r="G333" s="254" t="s">
        <v>560</v>
      </c>
      <c r="H333" s="267" t="s">
        <v>295</v>
      </c>
      <c r="I333" s="106">
        <v>1</v>
      </c>
      <c r="J333" s="15" t="s">
        <v>561</v>
      </c>
      <c r="K333" s="271" t="str">
        <f>E330</f>
        <v>V52</v>
      </c>
      <c r="L333" s="271">
        <v>1</v>
      </c>
      <c r="M333" s="271" t="s">
        <v>40</v>
      </c>
      <c r="N333" s="509" t="s">
        <v>161</v>
      </c>
      <c r="O333" s="216" t="s">
        <v>51</v>
      </c>
      <c r="P333" s="509" t="s">
        <v>356</v>
      </c>
      <c r="Q333" s="492"/>
      <c r="R333" s="492"/>
      <c r="S333" s="590" t="s">
        <v>40</v>
      </c>
      <c r="T333" s="41" t="s">
        <v>40</v>
      </c>
      <c r="U333" s="587"/>
      <c r="V333" s="238"/>
      <c r="W333" s="238"/>
      <c r="X333" s="238"/>
      <c r="Y333" s="238"/>
    </row>
    <row r="334" spans="1:25" ht="18" customHeight="1">
      <c r="A334" s="49" t="s">
        <v>562</v>
      </c>
      <c r="B334" s="49" t="s">
        <v>563</v>
      </c>
      <c r="C334" s="49" t="s">
        <v>158</v>
      </c>
      <c r="D334" s="479"/>
      <c r="E334" s="479"/>
      <c r="F334" s="599"/>
      <c r="G334" s="254"/>
      <c r="H334" s="267"/>
      <c r="I334" s="106">
        <v>2</v>
      </c>
      <c r="J334" s="15" t="s">
        <v>564</v>
      </c>
      <c r="K334" s="271"/>
      <c r="L334" s="271"/>
      <c r="M334" s="271"/>
      <c r="N334" s="510"/>
      <c r="O334" s="326"/>
      <c r="P334" s="510"/>
      <c r="Q334" s="493"/>
      <c r="R334" s="493"/>
      <c r="S334" s="591"/>
      <c r="T334" s="41" t="s">
        <v>40</v>
      </c>
      <c r="U334" s="588"/>
      <c r="V334" s="239"/>
      <c r="W334" s="239"/>
      <c r="X334" s="239"/>
      <c r="Y334" s="239"/>
    </row>
    <row r="335" spans="1:25" ht="18.75" customHeight="1">
      <c r="A335" s="49" t="s">
        <v>565</v>
      </c>
      <c r="B335" s="49" t="s">
        <v>566</v>
      </c>
      <c r="C335" s="49" t="s">
        <v>158</v>
      </c>
      <c r="D335" s="479"/>
      <c r="E335" s="479"/>
      <c r="F335" s="599"/>
      <c r="G335" s="254"/>
      <c r="H335" s="267"/>
      <c r="I335" s="106">
        <v>3</v>
      </c>
      <c r="J335" s="15" t="s">
        <v>567</v>
      </c>
      <c r="K335" s="271"/>
      <c r="L335" s="271"/>
      <c r="M335" s="271"/>
      <c r="N335" s="510"/>
      <c r="O335" s="326"/>
      <c r="P335" s="510"/>
      <c r="Q335" s="493"/>
      <c r="R335" s="493"/>
      <c r="S335" s="591"/>
      <c r="T335" s="41" t="s">
        <v>40</v>
      </c>
      <c r="U335" s="588"/>
      <c r="V335" s="239"/>
      <c r="W335" s="239"/>
      <c r="X335" s="239"/>
      <c r="Y335" s="239"/>
    </row>
    <row r="336" spans="1:25" ht="17.25" customHeight="1">
      <c r="A336" s="49" t="s">
        <v>568</v>
      </c>
      <c r="B336" s="49" t="s">
        <v>569</v>
      </c>
      <c r="C336" s="49" t="s">
        <v>158</v>
      </c>
      <c r="D336" s="479"/>
      <c r="E336" s="479"/>
      <c r="F336" s="599"/>
      <c r="G336" s="254"/>
      <c r="H336" s="267"/>
      <c r="I336" s="106">
        <v>4</v>
      </c>
      <c r="J336" s="15" t="s">
        <v>570</v>
      </c>
      <c r="K336" s="271"/>
      <c r="L336" s="271"/>
      <c r="M336" s="271"/>
      <c r="N336" s="510"/>
      <c r="O336" s="326"/>
      <c r="P336" s="510"/>
      <c r="Q336" s="493"/>
      <c r="R336" s="493"/>
      <c r="S336" s="591"/>
      <c r="T336" s="41" t="s">
        <v>40</v>
      </c>
      <c r="U336" s="588"/>
      <c r="V336" s="239"/>
      <c r="W336" s="239"/>
      <c r="X336" s="239"/>
      <c r="Y336" s="239"/>
    </row>
    <row r="337" spans="1:25" ht="18.75" customHeight="1">
      <c r="A337" s="49" t="s">
        <v>571</v>
      </c>
      <c r="B337" s="49" t="s">
        <v>572</v>
      </c>
      <c r="C337" s="49" t="s">
        <v>158</v>
      </c>
      <c r="D337" s="479"/>
      <c r="E337" s="479"/>
      <c r="F337" s="599"/>
      <c r="G337" s="254"/>
      <c r="H337" s="267"/>
      <c r="I337" s="106">
        <v>5</v>
      </c>
      <c r="J337" s="15" t="s">
        <v>573</v>
      </c>
      <c r="K337" s="271"/>
      <c r="L337" s="271"/>
      <c r="M337" s="271"/>
      <c r="N337" s="510"/>
      <c r="O337" s="326"/>
      <c r="P337" s="510"/>
      <c r="Q337" s="493"/>
      <c r="R337" s="493"/>
      <c r="S337" s="591"/>
      <c r="T337" s="41" t="s">
        <v>40</v>
      </c>
      <c r="U337" s="588"/>
      <c r="V337" s="239"/>
      <c r="W337" s="239"/>
      <c r="X337" s="239"/>
      <c r="Y337" s="239"/>
    </row>
    <row r="338" spans="1:25" ht="17.25" customHeight="1">
      <c r="A338" s="49" t="s">
        <v>574</v>
      </c>
      <c r="B338" s="49" t="s">
        <v>575</v>
      </c>
      <c r="C338" s="49" t="s">
        <v>158</v>
      </c>
      <c r="D338" s="479"/>
      <c r="E338" s="479"/>
      <c r="F338" s="599"/>
      <c r="G338" s="254"/>
      <c r="H338" s="267"/>
      <c r="I338" s="106">
        <v>6</v>
      </c>
      <c r="J338" s="15" t="s">
        <v>576</v>
      </c>
      <c r="K338" s="271"/>
      <c r="L338" s="271"/>
      <c r="M338" s="271"/>
      <c r="N338" s="510"/>
      <c r="O338" s="326"/>
      <c r="P338" s="510"/>
      <c r="Q338" s="493"/>
      <c r="R338" s="493"/>
      <c r="S338" s="591"/>
      <c r="T338" s="41" t="s">
        <v>40</v>
      </c>
      <c r="U338" s="588"/>
      <c r="V338" s="239"/>
      <c r="W338" s="239"/>
      <c r="X338" s="239"/>
      <c r="Y338" s="239"/>
    </row>
    <row r="339" spans="1:25" ht="18" customHeight="1">
      <c r="A339" s="263" t="s">
        <v>571</v>
      </c>
      <c r="B339" s="263" t="s">
        <v>572</v>
      </c>
      <c r="C339" s="263" t="s">
        <v>158</v>
      </c>
      <c r="D339" s="479"/>
      <c r="E339" s="479"/>
      <c r="F339" s="599"/>
      <c r="G339" s="254"/>
      <c r="H339" s="267"/>
      <c r="I339" s="106">
        <v>7</v>
      </c>
      <c r="J339" s="15" t="s">
        <v>577</v>
      </c>
      <c r="K339" s="271"/>
      <c r="L339" s="271"/>
      <c r="M339" s="271"/>
      <c r="N339" s="510"/>
      <c r="O339" s="326"/>
      <c r="P339" s="510"/>
      <c r="Q339" s="493"/>
      <c r="R339" s="493"/>
      <c r="S339" s="591"/>
      <c r="T339" s="41" t="s">
        <v>40</v>
      </c>
      <c r="U339" s="588"/>
      <c r="V339" s="239"/>
      <c r="W339" s="239"/>
      <c r="X339" s="239"/>
      <c r="Y339" s="239"/>
    </row>
    <row r="340" spans="1:25" ht="18" customHeight="1">
      <c r="A340" s="263"/>
      <c r="B340" s="263"/>
      <c r="C340" s="263"/>
      <c r="D340" s="479"/>
      <c r="E340" s="479"/>
      <c r="F340" s="599"/>
      <c r="G340" s="254"/>
      <c r="H340" s="267"/>
      <c r="I340" s="106">
        <v>8</v>
      </c>
      <c r="J340" s="15" t="s">
        <v>578</v>
      </c>
      <c r="K340" s="271"/>
      <c r="L340" s="271"/>
      <c r="M340" s="271"/>
      <c r="N340" s="510"/>
      <c r="O340" s="326"/>
      <c r="P340" s="510"/>
      <c r="Q340" s="493"/>
      <c r="R340" s="493"/>
      <c r="S340" s="591"/>
      <c r="T340" s="41" t="s">
        <v>40</v>
      </c>
      <c r="U340" s="588"/>
      <c r="V340" s="239"/>
      <c r="W340" s="239"/>
      <c r="X340" s="239"/>
      <c r="Y340" s="239"/>
    </row>
    <row r="341" spans="1:25" ht="18" customHeight="1">
      <c r="A341" s="263"/>
      <c r="B341" s="263"/>
      <c r="C341" s="263"/>
      <c r="D341" s="479"/>
      <c r="E341" s="479"/>
      <c r="F341" s="599"/>
      <c r="G341" s="254"/>
      <c r="H341" s="267"/>
      <c r="I341" s="106">
        <v>9</v>
      </c>
      <c r="J341" s="15" t="s">
        <v>579</v>
      </c>
      <c r="K341" s="271"/>
      <c r="L341" s="271"/>
      <c r="M341" s="271"/>
      <c r="N341" s="510"/>
      <c r="O341" s="326"/>
      <c r="P341" s="510"/>
      <c r="Q341" s="493"/>
      <c r="R341" s="493"/>
      <c r="S341" s="591"/>
      <c r="T341" s="41" t="s">
        <v>40</v>
      </c>
      <c r="U341" s="588"/>
      <c r="V341" s="239"/>
      <c r="W341" s="239"/>
      <c r="X341" s="239"/>
      <c r="Y341" s="239"/>
    </row>
    <row r="342" spans="1:25" ht="18" customHeight="1">
      <c r="A342" s="263"/>
      <c r="B342" s="263"/>
      <c r="C342" s="263"/>
      <c r="D342" s="479"/>
      <c r="E342" s="479"/>
      <c r="F342" s="599"/>
      <c r="G342" s="254"/>
      <c r="H342" s="267"/>
      <c r="I342" s="106">
        <v>10</v>
      </c>
      <c r="J342" s="15" t="s">
        <v>580</v>
      </c>
      <c r="K342" s="271"/>
      <c r="L342" s="271"/>
      <c r="M342" s="271"/>
      <c r="N342" s="510"/>
      <c r="O342" s="326"/>
      <c r="P342" s="510"/>
      <c r="Q342" s="493"/>
      <c r="R342" s="493"/>
      <c r="S342" s="591"/>
      <c r="T342" s="41" t="s">
        <v>40</v>
      </c>
      <c r="U342" s="588"/>
      <c r="V342" s="239"/>
      <c r="W342" s="239"/>
      <c r="X342" s="239"/>
      <c r="Y342" s="239"/>
    </row>
    <row r="343" spans="1:25" ht="18" customHeight="1">
      <c r="A343" s="263"/>
      <c r="B343" s="263"/>
      <c r="C343" s="263"/>
      <c r="D343" s="479"/>
      <c r="E343" s="479"/>
      <c r="F343" s="599"/>
      <c r="G343" s="254"/>
      <c r="H343" s="267"/>
      <c r="I343" s="106">
        <v>11</v>
      </c>
      <c r="J343" s="15" t="s">
        <v>581</v>
      </c>
      <c r="K343" s="271"/>
      <c r="L343" s="271"/>
      <c r="M343" s="271"/>
      <c r="N343" s="510"/>
      <c r="O343" s="326"/>
      <c r="P343" s="510"/>
      <c r="Q343" s="493"/>
      <c r="R343" s="493"/>
      <c r="S343" s="591"/>
      <c r="T343" s="41" t="s">
        <v>40</v>
      </c>
      <c r="U343" s="588"/>
      <c r="V343" s="239"/>
      <c r="W343" s="239"/>
      <c r="X343" s="239"/>
      <c r="Y343" s="239"/>
    </row>
    <row r="344" spans="1:25" ht="17.25" customHeight="1">
      <c r="A344" s="263"/>
      <c r="B344" s="263"/>
      <c r="C344" s="263"/>
      <c r="D344" s="479"/>
      <c r="E344" s="479"/>
      <c r="F344" s="599"/>
      <c r="G344" s="254"/>
      <c r="H344" s="267"/>
      <c r="I344" s="106">
        <v>12</v>
      </c>
      <c r="J344" s="205" t="s">
        <v>582</v>
      </c>
      <c r="K344" s="271"/>
      <c r="L344" s="271"/>
      <c r="M344" s="271"/>
      <c r="N344" s="510"/>
      <c r="O344" s="326"/>
      <c r="P344" s="510"/>
      <c r="Q344" s="493"/>
      <c r="R344" s="493"/>
      <c r="S344" s="591"/>
      <c r="T344" s="41" t="s">
        <v>40</v>
      </c>
      <c r="U344" s="588"/>
      <c r="V344" s="239"/>
      <c r="W344" s="239"/>
      <c r="X344" s="239"/>
      <c r="Y344" s="239"/>
    </row>
    <row r="345" spans="1:25" ht="18.75" customHeight="1">
      <c r="A345" s="263"/>
      <c r="B345" s="263"/>
      <c r="C345" s="263"/>
      <c r="D345" s="479"/>
      <c r="E345" s="479"/>
      <c r="F345" s="599"/>
      <c r="G345" s="254"/>
      <c r="H345" s="267"/>
      <c r="I345" s="106">
        <v>13</v>
      </c>
      <c r="J345" s="15" t="s">
        <v>287</v>
      </c>
      <c r="K345" s="271"/>
      <c r="L345" s="271"/>
      <c r="M345" s="271"/>
      <c r="N345" s="510"/>
      <c r="O345" s="326"/>
      <c r="P345" s="510"/>
      <c r="Q345" s="493"/>
      <c r="R345" s="493"/>
      <c r="S345" s="591"/>
      <c r="T345" s="41" t="s">
        <v>40</v>
      </c>
      <c r="U345" s="588"/>
      <c r="V345" s="239"/>
      <c r="W345" s="239"/>
      <c r="X345" s="239"/>
      <c r="Y345" s="239"/>
    </row>
    <row r="346" spans="1:25" ht="14.25" customHeight="1">
      <c r="A346" s="263"/>
      <c r="B346" s="263"/>
      <c r="C346" s="263"/>
      <c r="D346" s="479"/>
      <c r="E346" s="479"/>
      <c r="F346" s="599"/>
      <c r="G346" s="254"/>
      <c r="H346" s="267"/>
      <c r="I346" s="106">
        <v>77</v>
      </c>
      <c r="J346" s="15" t="s">
        <v>583</v>
      </c>
      <c r="K346" s="271"/>
      <c r="L346" s="271"/>
      <c r="M346" s="271"/>
      <c r="N346" s="511"/>
      <c r="O346" s="217"/>
      <c r="P346" s="511"/>
      <c r="Q346" s="540"/>
      <c r="R346" s="540"/>
      <c r="S346" s="592"/>
      <c r="T346" s="41" t="s">
        <v>40</v>
      </c>
      <c r="U346" s="589"/>
      <c r="V346" s="240"/>
      <c r="W346" s="240"/>
      <c r="X346" s="240"/>
      <c r="Y346" s="240"/>
    </row>
    <row r="347" spans="1:25" ht="14.25" customHeight="1">
      <c r="A347" s="264"/>
      <c r="B347" s="264"/>
      <c r="C347" s="264"/>
      <c r="D347" s="459">
        <v>29</v>
      </c>
      <c r="E347" s="459" t="s">
        <v>584</v>
      </c>
      <c r="F347" s="264"/>
      <c r="G347" s="429" t="s">
        <v>585</v>
      </c>
      <c r="H347" s="626"/>
      <c r="I347" s="107">
        <v>1</v>
      </c>
      <c r="J347" s="51" t="s">
        <v>119</v>
      </c>
      <c r="K347" s="264" t="s">
        <v>46</v>
      </c>
      <c r="L347" s="264">
        <v>1</v>
      </c>
      <c r="M347" s="264"/>
      <c r="N347" s="264" t="s">
        <v>50</v>
      </c>
      <c r="O347" s="264" t="s">
        <v>51</v>
      </c>
      <c r="P347" s="264" t="s">
        <v>45</v>
      </c>
      <c r="Q347" s="551"/>
      <c r="R347" s="551"/>
      <c r="S347" s="264"/>
      <c r="T347" s="264"/>
      <c r="U347" s="244"/>
      <c r="V347" s="244"/>
      <c r="W347" s="244"/>
      <c r="X347" s="244"/>
      <c r="Y347" s="244"/>
    </row>
    <row r="348" spans="1:25" ht="14.25" customHeight="1">
      <c r="A348" s="265"/>
      <c r="B348" s="265"/>
      <c r="C348" s="265"/>
      <c r="D348" s="460"/>
      <c r="E348" s="460"/>
      <c r="F348" s="265"/>
      <c r="G348" s="429"/>
      <c r="H348" s="627"/>
      <c r="I348" s="107">
        <v>2</v>
      </c>
      <c r="J348" s="51" t="s">
        <v>120</v>
      </c>
      <c r="K348" s="265"/>
      <c r="L348" s="265"/>
      <c r="M348" s="265"/>
      <c r="N348" s="265"/>
      <c r="O348" s="265"/>
      <c r="P348" s="265"/>
      <c r="Q348" s="442"/>
      <c r="R348" s="442"/>
      <c r="S348" s="265"/>
      <c r="T348" s="265"/>
      <c r="U348" s="245"/>
      <c r="V348" s="245"/>
      <c r="W348" s="245"/>
      <c r="X348" s="245"/>
      <c r="Y348" s="245"/>
    </row>
    <row r="349" spans="1:25" ht="14.25" customHeight="1">
      <c r="A349" s="266"/>
      <c r="B349" s="266"/>
      <c r="C349" s="266"/>
      <c r="D349" s="461"/>
      <c r="E349" s="461"/>
      <c r="F349" s="266"/>
      <c r="G349" s="430"/>
      <c r="H349" s="628"/>
      <c r="I349" s="107">
        <v>77</v>
      </c>
      <c r="J349" s="51" t="s">
        <v>155</v>
      </c>
      <c r="K349" s="266"/>
      <c r="L349" s="266"/>
      <c r="M349" s="266"/>
      <c r="N349" s="266"/>
      <c r="O349" s="266"/>
      <c r="P349" s="266"/>
      <c r="Q349" s="443"/>
      <c r="R349" s="443"/>
      <c r="S349" s="266"/>
      <c r="T349" s="266"/>
      <c r="U349" s="246"/>
      <c r="V349" s="246"/>
      <c r="W349" s="246"/>
      <c r="X349" s="246"/>
      <c r="Y349" s="246"/>
    </row>
    <row r="350" spans="1:25" ht="18" customHeight="1">
      <c r="A350" s="49" t="s">
        <v>556</v>
      </c>
      <c r="B350" s="49" t="s">
        <v>557</v>
      </c>
      <c r="C350" s="49" t="s">
        <v>225</v>
      </c>
      <c r="D350" s="479">
        <v>30</v>
      </c>
      <c r="E350" s="479" t="s">
        <v>586</v>
      </c>
      <c r="F350" s="263" t="s">
        <v>165</v>
      </c>
      <c r="G350" s="254" t="s">
        <v>560</v>
      </c>
      <c r="H350" s="267" t="s">
        <v>295</v>
      </c>
      <c r="I350" s="106">
        <v>1</v>
      </c>
      <c r="J350" s="15" t="s">
        <v>561</v>
      </c>
      <c r="K350" s="271" t="str">
        <f>E347</f>
        <v>V54</v>
      </c>
      <c r="L350" s="271">
        <v>1</v>
      </c>
      <c r="M350" s="271" t="s">
        <v>40</v>
      </c>
      <c r="N350" s="510" t="s">
        <v>161</v>
      </c>
      <c r="O350" s="326" t="s">
        <v>51</v>
      </c>
      <c r="P350" s="510" t="s">
        <v>356</v>
      </c>
      <c r="Q350" s="492"/>
      <c r="R350" s="492"/>
      <c r="S350" s="321" t="s">
        <v>40</v>
      </c>
      <c r="T350" s="22" t="s">
        <v>40</v>
      </c>
      <c r="U350" s="587"/>
      <c r="V350" s="239"/>
      <c r="W350" s="239"/>
      <c r="X350" s="239"/>
      <c r="Y350" s="239"/>
    </row>
    <row r="351" spans="1:25" ht="18" customHeight="1">
      <c r="A351" s="49" t="s">
        <v>562</v>
      </c>
      <c r="B351" s="49" t="s">
        <v>563</v>
      </c>
      <c r="C351" s="49" t="s">
        <v>158</v>
      </c>
      <c r="D351" s="479"/>
      <c r="E351" s="479"/>
      <c r="F351" s="263"/>
      <c r="G351" s="254"/>
      <c r="H351" s="267"/>
      <c r="I351" s="106">
        <v>2</v>
      </c>
      <c r="J351" s="15" t="s">
        <v>564</v>
      </c>
      <c r="K351" s="271"/>
      <c r="L351" s="271"/>
      <c r="M351" s="271"/>
      <c r="N351" s="510"/>
      <c r="O351" s="326"/>
      <c r="P351" s="510"/>
      <c r="Q351" s="493"/>
      <c r="R351" s="493"/>
      <c r="S351" s="321"/>
      <c r="T351" s="23" t="s">
        <v>40</v>
      </c>
      <c r="U351" s="588"/>
      <c r="V351" s="239"/>
      <c r="W351" s="239"/>
      <c r="X351" s="239"/>
      <c r="Y351" s="239"/>
    </row>
    <row r="352" spans="1:25" ht="17.25" customHeight="1">
      <c r="A352" s="49" t="s">
        <v>565</v>
      </c>
      <c r="B352" s="49" t="s">
        <v>566</v>
      </c>
      <c r="C352" s="49" t="s">
        <v>158</v>
      </c>
      <c r="D352" s="479"/>
      <c r="E352" s="479"/>
      <c r="F352" s="263"/>
      <c r="G352" s="254"/>
      <c r="H352" s="267"/>
      <c r="I352" s="106">
        <v>3</v>
      </c>
      <c r="J352" s="15" t="s">
        <v>567</v>
      </c>
      <c r="K352" s="271"/>
      <c r="L352" s="271"/>
      <c r="M352" s="271"/>
      <c r="N352" s="510"/>
      <c r="O352" s="326"/>
      <c r="P352" s="510"/>
      <c r="Q352" s="493"/>
      <c r="R352" s="493"/>
      <c r="S352" s="321"/>
      <c r="T352" s="23" t="s">
        <v>40</v>
      </c>
      <c r="U352" s="588"/>
      <c r="V352" s="239"/>
      <c r="W352" s="239"/>
      <c r="X352" s="239"/>
      <c r="Y352" s="239"/>
    </row>
    <row r="353" spans="1:25" ht="17.25" customHeight="1">
      <c r="A353" s="49" t="s">
        <v>568</v>
      </c>
      <c r="B353" s="49" t="s">
        <v>569</v>
      </c>
      <c r="C353" s="49" t="s">
        <v>158</v>
      </c>
      <c r="D353" s="479"/>
      <c r="E353" s="479"/>
      <c r="F353" s="263"/>
      <c r="G353" s="254"/>
      <c r="H353" s="267"/>
      <c r="I353" s="106">
        <v>4</v>
      </c>
      <c r="J353" s="15" t="s">
        <v>587</v>
      </c>
      <c r="K353" s="271"/>
      <c r="L353" s="271"/>
      <c r="M353" s="271"/>
      <c r="N353" s="510"/>
      <c r="O353" s="326"/>
      <c r="P353" s="510"/>
      <c r="Q353" s="493"/>
      <c r="R353" s="493"/>
      <c r="S353" s="321"/>
      <c r="T353" s="23" t="s">
        <v>40</v>
      </c>
      <c r="U353" s="588"/>
      <c r="V353" s="239"/>
      <c r="W353" s="239"/>
      <c r="X353" s="239"/>
      <c r="Y353" s="239"/>
    </row>
    <row r="354" spans="1:25" ht="18" customHeight="1">
      <c r="A354" s="49" t="s">
        <v>571</v>
      </c>
      <c r="B354" s="49" t="s">
        <v>572</v>
      </c>
      <c r="C354" s="49" t="s">
        <v>158</v>
      </c>
      <c r="D354" s="479"/>
      <c r="E354" s="479"/>
      <c r="F354" s="263"/>
      <c r="G354" s="254"/>
      <c r="H354" s="267"/>
      <c r="I354" s="106">
        <v>5</v>
      </c>
      <c r="J354" s="15" t="s">
        <v>573</v>
      </c>
      <c r="K354" s="271"/>
      <c r="L354" s="271"/>
      <c r="M354" s="271"/>
      <c r="N354" s="510"/>
      <c r="O354" s="326"/>
      <c r="P354" s="510"/>
      <c r="Q354" s="493"/>
      <c r="R354" s="493"/>
      <c r="S354" s="321"/>
      <c r="T354" s="23" t="s">
        <v>40</v>
      </c>
      <c r="U354" s="588"/>
      <c r="V354" s="239"/>
      <c r="W354" s="239"/>
      <c r="X354" s="239"/>
      <c r="Y354" s="239"/>
    </row>
    <row r="355" spans="1:25" ht="18" customHeight="1">
      <c r="A355" s="49" t="s">
        <v>574</v>
      </c>
      <c r="B355" s="49" t="s">
        <v>575</v>
      </c>
      <c r="C355" s="49" t="s">
        <v>158</v>
      </c>
      <c r="D355" s="479"/>
      <c r="E355" s="479"/>
      <c r="F355" s="263"/>
      <c r="G355" s="254"/>
      <c r="H355" s="267"/>
      <c r="I355" s="106">
        <v>6</v>
      </c>
      <c r="J355" s="15" t="s">
        <v>576</v>
      </c>
      <c r="K355" s="271"/>
      <c r="L355" s="271"/>
      <c r="M355" s="271"/>
      <c r="N355" s="510"/>
      <c r="O355" s="326"/>
      <c r="P355" s="510"/>
      <c r="Q355" s="493"/>
      <c r="R355" s="493"/>
      <c r="S355" s="321"/>
      <c r="T355" s="23" t="s">
        <v>40</v>
      </c>
      <c r="U355" s="588"/>
      <c r="V355" s="239"/>
      <c r="W355" s="239"/>
      <c r="X355" s="239"/>
      <c r="Y355" s="239"/>
    </row>
    <row r="356" spans="1:25" ht="18" customHeight="1">
      <c r="A356" s="263" t="s">
        <v>571</v>
      </c>
      <c r="B356" s="263" t="s">
        <v>572</v>
      </c>
      <c r="C356" s="263" t="s">
        <v>158</v>
      </c>
      <c r="D356" s="479"/>
      <c r="E356" s="479"/>
      <c r="F356" s="263"/>
      <c r="G356" s="254"/>
      <c r="H356" s="267"/>
      <c r="I356" s="106">
        <v>7</v>
      </c>
      <c r="J356" s="15" t="s">
        <v>588</v>
      </c>
      <c r="K356" s="271"/>
      <c r="L356" s="271"/>
      <c r="M356" s="271"/>
      <c r="N356" s="510"/>
      <c r="O356" s="326"/>
      <c r="P356" s="510"/>
      <c r="Q356" s="493"/>
      <c r="R356" s="493"/>
      <c r="S356" s="321"/>
      <c r="T356" s="23" t="s">
        <v>40</v>
      </c>
      <c r="U356" s="588"/>
      <c r="V356" s="239"/>
      <c r="W356" s="239"/>
      <c r="X356" s="239"/>
      <c r="Y356" s="239"/>
    </row>
    <row r="357" spans="1:25" ht="17.25" customHeight="1">
      <c r="A357" s="263"/>
      <c r="B357" s="263"/>
      <c r="C357" s="263"/>
      <c r="D357" s="479"/>
      <c r="E357" s="479"/>
      <c r="F357" s="263"/>
      <c r="G357" s="254"/>
      <c r="H357" s="267"/>
      <c r="I357" s="106">
        <v>8</v>
      </c>
      <c r="J357" s="15" t="s">
        <v>578</v>
      </c>
      <c r="K357" s="271"/>
      <c r="L357" s="271"/>
      <c r="M357" s="271"/>
      <c r="N357" s="510"/>
      <c r="O357" s="326"/>
      <c r="P357" s="510"/>
      <c r="Q357" s="493"/>
      <c r="R357" s="493"/>
      <c r="S357" s="321"/>
      <c r="T357" s="23" t="s">
        <v>40</v>
      </c>
      <c r="U357" s="588"/>
      <c r="V357" s="239"/>
      <c r="W357" s="239"/>
      <c r="X357" s="239"/>
      <c r="Y357" s="239"/>
    </row>
    <row r="358" spans="1:25" ht="17.25" customHeight="1">
      <c r="A358" s="263"/>
      <c r="B358" s="263"/>
      <c r="C358" s="263"/>
      <c r="D358" s="479"/>
      <c r="E358" s="479"/>
      <c r="F358" s="263"/>
      <c r="G358" s="254"/>
      <c r="H358" s="267"/>
      <c r="I358" s="106">
        <v>9</v>
      </c>
      <c r="J358" s="15" t="s">
        <v>579</v>
      </c>
      <c r="K358" s="271"/>
      <c r="L358" s="271"/>
      <c r="M358" s="271"/>
      <c r="N358" s="510"/>
      <c r="O358" s="326"/>
      <c r="P358" s="510"/>
      <c r="Q358" s="493"/>
      <c r="R358" s="493"/>
      <c r="S358" s="321"/>
      <c r="T358" s="23" t="s">
        <v>40</v>
      </c>
      <c r="U358" s="588"/>
      <c r="V358" s="239"/>
      <c r="W358" s="239"/>
      <c r="X358" s="239"/>
      <c r="Y358" s="239"/>
    </row>
    <row r="359" spans="1:25" ht="18.75" customHeight="1">
      <c r="A359" s="263"/>
      <c r="B359" s="263"/>
      <c r="C359" s="263"/>
      <c r="D359" s="479"/>
      <c r="E359" s="479"/>
      <c r="F359" s="263"/>
      <c r="G359" s="254"/>
      <c r="H359" s="267"/>
      <c r="I359" s="106">
        <v>10</v>
      </c>
      <c r="J359" s="15" t="s">
        <v>580</v>
      </c>
      <c r="K359" s="271"/>
      <c r="L359" s="271"/>
      <c r="M359" s="271"/>
      <c r="N359" s="510"/>
      <c r="O359" s="326"/>
      <c r="P359" s="510"/>
      <c r="Q359" s="493"/>
      <c r="R359" s="493"/>
      <c r="S359" s="321"/>
      <c r="T359" s="23" t="s">
        <v>40</v>
      </c>
      <c r="U359" s="588"/>
      <c r="V359" s="239"/>
      <c r="W359" s="239"/>
      <c r="X359" s="239"/>
      <c r="Y359" s="239"/>
    </row>
    <row r="360" spans="1:25" ht="18" customHeight="1">
      <c r="A360" s="263"/>
      <c r="B360" s="263"/>
      <c r="C360" s="263"/>
      <c r="D360" s="479"/>
      <c r="E360" s="479"/>
      <c r="F360" s="263"/>
      <c r="G360" s="254"/>
      <c r="H360" s="267"/>
      <c r="I360" s="106">
        <v>11</v>
      </c>
      <c r="J360" s="15" t="s">
        <v>581</v>
      </c>
      <c r="K360" s="271"/>
      <c r="L360" s="271"/>
      <c r="M360" s="271"/>
      <c r="N360" s="510"/>
      <c r="O360" s="326"/>
      <c r="P360" s="510"/>
      <c r="Q360" s="493"/>
      <c r="R360" s="493"/>
      <c r="S360" s="321"/>
      <c r="T360" s="23" t="s">
        <v>40</v>
      </c>
      <c r="U360" s="588"/>
      <c r="V360" s="239"/>
      <c r="W360" s="239"/>
      <c r="X360" s="239"/>
      <c r="Y360" s="239"/>
    </row>
    <row r="361" spans="1:25" ht="18" customHeight="1">
      <c r="A361" s="263"/>
      <c r="B361" s="263"/>
      <c r="C361" s="263"/>
      <c r="D361" s="479"/>
      <c r="E361" s="479"/>
      <c r="F361" s="263"/>
      <c r="G361" s="254"/>
      <c r="H361" s="267"/>
      <c r="I361" s="106">
        <v>12</v>
      </c>
      <c r="J361" s="205" t="s">
        <v>582</v>
      </c>
      <c r="K361" s="271"/>
      <c r="L361" s="271"/>
      <c r="M361" s="271"/>
      <c r="N361" s="510"/>
      <c r="O361" s="326"/>
      <c r="P361" s="510"/>
      <c r="Q361" s="493"/>
      <c r="R361" s="493"/>
      <c r="S361" s="321"/>
      <c r="T361" s="23" t="s">
        <v>40</v>
      </c>
      <c r="U361" s="588"/>
      <c r="V361" s="239"/>
      <c r="W361" s="239"/>
      <c r="X361" s="239"/>
      <c r="Y361" s="239"/>
    </row>
    <row r="362" spans="1:25" ht="18.75" customHeight="1">
      <c r="A362" s="263"/>
      <c r="B362" s="263"/>
      <c r="C362" s="263"/>
      <c r="D362" s="479"/>
      <c r="E362" s="479"/>
      <c r="F362" s="263"/>
      <c r="G362" s="254"/>
      <c r="H362" s="267"/>
      <c r="I362" s="106">
        <v>13</v>
      </c>
      <c r="J362" s="15" t="s">
        <v>287</v>
      </c>
      <c r="K362" s="271"/>
      <c r="L362" s="271"/>
      <c r="M362" s="271"/>
      <c r="N362" s="510"/>
      <c r="O362" s="326"/>
      <c r="P362" s="510"/>
      <c r="Q362" s="493"/>
      <c r="R362" s="493"/>
      <c r="S362" s="321"/>
      <c r="T362" s="23" t="s">
        <v>40</v>
      </c>
      <c r="U362" s="588"/>
      <c r="V362" s="239"/>
      <c r="W362" s="239"/>
      <c r="X362" s="239"/>
      <c r="Y362" s="239"/>
    </row>
    <row r="363" spans="1:25" ht="18" customHeight="1">
      <c r="A363" s="263"/>
      <c r="B363" s="263"/>
      <c r="C363" s="263"/>
      <c r="D363" s="479"/>
      <c r="E363" s="479"/>
      <c r="F363" s="263"/>
      <c r="G363" s="254"/>
      <c r="H363" s="267"/>
      <c r="I363" s="106">
        <v>77</v>
      </c>
      <c r="J363" s="15" t="s">
        <v>583</v>
      </c>
      <c r="K363" s="271"/>
      <c r="L363" s="271"/>
      <c r="M363" s="271"/>
      <c r="N363" s="510"/>
      <c r="O363" s="326"/>
      <c r="P363" s="510"/>
      <c r="Q363" s="540"/>
      <c r="R363" s="540"/>
      <c r="S363" s="321"/>
      <c r="T363" s="36" t="s">
        <v>40</v>
      </c>
      <c r="U363" s="589"/>
      <c r="V363" s="239"/>
      <c r="W363" s="239"/>
      <c r="X363" s="239"/>
      <c r="Y363" s="239"/>
    </row>
    <row r="364" spans="1:25" ht="84">
      <c r="A364" s="146"/>
      <c r="B364" s="146"/>
      <c r="D364" s="169">
        <v>31</v>
      </c>
      <c r="E364" s="170" t="s">
        <v>589</v>
      </c>
      <c r="F364" s="135"/>
      <c r="G364" s="152" t="s">
        <v>590</v>
      </c>
      <c r="H364" s="153"/>
      <c r="I364" s="154"/>
      <c r="J364" s="135"/>
      <c r="K364" s="101" t="s">
        <v>46</v>
      </c>
      <c r="L364" s="101">
        <v>1</v>
      </c>
      <c r="N364" s="151" t="s">
        <v>44</v>
      </c>
      <c r="O364" s="101"/>
      <c r="P364" s="101"/>
      <c r="Q364" s="170"/>
      <c r="R364" s="170"/>
      <c r="S364" s="46"/>
      <c r="T364" s="46"/>
      <c r="U364" s="98"/>
      <c r="V364" s="46"/>
      <c r="W364" s="46"/>
      <c r="X364" s="46"/>
      <c r="Y364" s="46"/>
    </row>
    <row r="365" spans="1:25" ht="21.75" customHeight="1">
      <c r="A365" s="161" t="s">
        <v>591</v>
      </c>
      <c r="B365" s="12" t="s">
        <v>592</v>
      </c>
      <c r="C365" s="162"/>
      <c r="D365" s="470">
        <v>31</v>
      </c>
      <c r="E365" s="470" t="s">
        <v>593</v>
      </c>
      <c r="F365" s="235"/>
      <c r="G365" s="662" t="s">
        <v>594</v>
      </c>
      <c r="H365" s="662"/>
      <c r="I365" s="197">
        <v>1</v>
      </c>
      <c r="J365" s="196" t="s">
        <v>120</v>
      </c>
      <c r="K365" s="596" t="s">
        <v>46</v>
      </c>
      <c r="L365" s="596">
        <v>1</v>
      </c>
      <c r="M365" s="596"/>
      <c r="N365" s="596" t="s">
        <v>50</v>
      </c>
      <c r="O365" s="596" t="s">
        <v>51</v>
      </c>
      <c r="P365" s="596" t="s">
        <v>45</v>
      </c>
      <c r="Q365" s="593"/>
      <c r="R365" s="593"/>
      <c r="S365" s="596"/>
      <c r="T365" s="46"/>
      <c r="U365" s="311"/>
      <c r="V365" s="311"/>
      <c r="W365" s="311"/>
      <c r="X365" s="311"/>
      <c r="Y365" s="311"/>
    </row>
    <row r="366" spans="1:25" ht="18.75" customHeight="1">
      <c r="A366" s="161" t="s">
        <v>595</v>
      </c>
      <c r="B366" s="12" t="s">
        <v>596</v>
      </c>
      <c r="C366" s="163"/>
      <c r="D366" s="296"/>
      <c r="E366" s="296"/>
      <c r="F366" s="236"/>
      <c r="G366" s="662"/>
      <c r="H366" s="662"/>
      <c r="I366" s="197">
        <v>2</v>
      </c>
      <c r="J366" s="196" t="s">
        <v>597</v>
      </c>
      <c r="K366" s="597"/>
      <c r="L366" s="597"/>
      <c r="M366" s="597"/>
      <c r="N366" s="597"/>
      <c r="O366" s="597"/>
      <c r="P366" s="597"/>
      <c r="Q366" s="594"/>
      <c r="R366" s="594"/>
      <c r="S366" s="597"/>
      <c r="T366" s="46"/>
      <c r="U366" s="312"/>
      <c r="V366" s="312"/>
      <c r="W366" s="312"/>
      <c r="X366" s="312"/>
      <c r="Y366" s="312"/>
    </row>
    <row r="367" spans="1:25" ht="18" customHeight="1">
      <c r="A367" s="161" t="s">
        <v>598</v>
      </c>
      <c r="B367" s="12" t="s">
        <v>599</v>
      </c>
      <c r="C367" s="163"/>
      <c r="D367" s="296"/>
      <c r="E367" s="296"/>
      <c r="F367" s="236"/>
      <c r="G367" s="662"/>
      <c r="H367" s="662"/>
      <c r="I367" s="197">
        <v>3</v>
      </c>
      <c r="J367" s="196" t="s">
        <v>600</v>
      </c>
      <c r="K367" s="597"/>
      <c r="L367" s="597"/>
      <c r="M367" s="597"/>
      <c r="N367" s="597"/>
      <c r="O367" s="597"/>
      <c r="P367" s="597"/>
      <c r="Q367" s="594"/>
      <c r="R367" s="594"/>
      <c r="S367" s="597"/>
      <c r="T367" s="46"/>
      <c r="U367" s="312"/>
      <c r="V367" s="312"/>
      <c r="W367" s="312"/>
      <c r="X367" s="312"/>
      <c r="Y367" s="312"/>
    </row>
    <row r="368" spans="1:25" ht="18" customHeight="1">
      <c r="A368" s="161" t="s">
        <v>601</v>
      </c>
      <c r="B368" s="12" t="s">
        <v>602</v>
      </c>
      <c r="C368" s="163"/>
      <c r="D368" s="296"/>
      <c r="E368" s="296"/>
      <c r="F368" s="236"/>
      <c r="G368" s="662"/>
      <c r="H368" s="662"/>
      <c r="I368" s="197">
        <v>4</v>
      </c>
      <c r="J368" s="196" t="s">
        <v>603</v>
      </c>
      <c r="K368" s="597"/>
      <c r="L368" s="597"/>
      <c r="M368" s="597"/>
      <c r="N368" s="597"/>
      <c r="O368" s="597"/>
      <c r="P368" s="597"/>
      <c r="Q368" s="594"/>
      <c r="R368" s="594"/>
      <c r="S368" s="597"/>
      <c r="T368" s="46"/>
      <c r="U368" s="312"/>
      <c r="V368" s="312"/>
      <c r="W368" s="312"/>
      <c r="X368" s="312"/>
      <c r="Y368" s="312"/>
    </row>
    <row r="369" spans="1:25" ht="18" customHeight="1">
      <c r="A369" s="161" t="s">
        <v>604</v>
      </c>
      <c r="B369" s="12" t="s">
        <v>605</v>
      </c>
      <c r="C369" s="163"/>
      <c r="D369" s="471"/>
      <c r="E369" s="471"/>
      <c r="F369" s="237"/>
      <c r="G369" s="663"/>
      <c r="H369" s="663"/>
      <c r="I369" s="192">
        <v>77</v>
      </c>
      <c r="J369" s="198" t="s">
        <v>155</v>
      </c>
      <c r="K369" s="598"/>
      <c r="L369" s="598"/>
      <c r="M369" s="598"/>
      <c r="N369" s="598"/>
      <c r="O369" s="598"/>
      <c r="P369" s="598"/>
      <c r="Q369" s="595"/>
      <c r="R369" s="595"/>
      <c r="S369" s="598"/>
      <c r="T369" s="46"/>
      <c r="U369" s="313"/>
      <c r="V369" s="313"/>
      <c r="W369" s="313"/>
      <c r="X369" s="313"/>
      <c r="Y369" s="313"/>
    </row>
    <row r="370" spans="1:25" ht="18" customHeight="1">
      <c r="A370" s="161" t="s">
        <v>606</v>
      </c>
      <c r="B370" s="12" t="s">
        <v>607</v>
      </c>
      <c r="C370" s="163"/>
      <c r="D370" s="470">
        <v>31</v>
      </c>
      <c r="E370" s="470" t="s">
        <v>608</v>
      </c>
      <c r="F370" s="235"/>
      <c r="G370" s="662" t="s">
        <v>609</v>
      </c>
      <c r="H370" s="662"/>
      <c r="I370" s="197">
        <v>1</v>
      </c>
      <c r="J370" s="196" t="s">
        <v>120</v>
      </c>
      <c r="K370" s="596" t="s">
        <v>46</v>
      </c>
      <c r="L370" s="596">
        <v>1</v>
      </c>
      <c r="M370" s="596"/>
      <c r="N370" s="596" t="s">
        <v>50</v>
      </c>
      <c r="O370" s="596" t="s">
        <v>51</v>
      </c>
      <c r="P370" s="596" t="s">
        <v>45</v>
      </c>
      <c r="Q370" s="593"/>
      <c r="R370" s="593"/>
      <c r="S370" s="596"/>
      <c r="T370" s="46"/>
      <c r="U370" s="311"/>
      <c r="V370" s="311"/>
      <c r="W370" s="311"/>
      <c r="X370" s="311"/>
      <c r="Y370" s="311"/>
    </row>
    <row r="371" spans="1:25" ht="18" customHeight="1">
      <c r="A371" s="161" t="s">
        <v>610</v>
      </c>
      <c r="B371" s="12" t="s">
        <v>611</v>
      </c>
      <c r="C371" s="163"/>
      <c r="D371" s="296"/>
      <c r="E371" s="296"/>
      <c r="F371" s="236"/>
      <c r="G371" s="662"/>
      <c r="H371" s="662"/>
      <c r="I371" s="197">
        <v>2</v>
      </c>
      <c r="J371" s="196" t="s">
        <v>612</v>
      </c>
      <c r="K371" s="597"/>
      <c r="L371" s="597"/>
      <c r="M371" s="597"/>
      <c r="N371" s="597"/>
      <c r="O371" s="597"/>
      <c r="P371" s="597"/>
      <c r="Q371" s="594"/>
      <c r="R371" s="594"/>
      <c r="S371" s="597"/>
      <c r="T371" s="46"/>
      <c r="U371" s="312"/>
      <c r="V371" s="312"/>
      <c r="W371" s="312"/>
      <c r="X371" s="312"/>
      <c r="Y371" s="312"/>
    </row>
    <row r="372" spans="1:25" ht="18" customHeight="1">
      <c r="A372" s="161" t="s">
        <v>613</v>
      </c>
      <c r="B372" s="12" t="s">
        <v>602</v>
      </c>
      <c r="C372" s="163"/>
      <c r="D372" s="296"/>
      <c r="E372" s="296"/>
      <c r="F372" s="236"/>
      <c r="G372" s="662"/>
      <c r="H372" s="662"/>
      <c r="I372" s="197">
        <v>3</v>
      </c>
      <c r="J372" s="196" t="s">
        <v>614</v>
      </c>
      <c r="K372" s="597"/>
      <c r="L372" s="597"/>
      <c r="M372" s="597"/>
      <c r="N372" s="597"/>
      <c r="O372" s="597"/>
      <c r="P372" s="597"/>
      <c r="Q372" s="594"/>
      <c r="R372" s="594"/>
      <c r="S372" s="597"/>
      <c r="T372" s="46"/>
      <c r="U372" s="312"/>
      <c r="V372" s="312"/>
      <c r="W372" s="312"/>
      <c r="X372" s="312"/>
      <c r="Y372" s="312"/>
    </row>
    <row r="373" spans="1:25" ht="18" customHeight="1">
      <c r="A373" s="161" t="s">
        <v>615</v>
      </c>
      <c r="B373" s="12" t="s">
        <v>605</v>
      </c>
      <c r="C373" s="163"/>
      <c r="D373" s="296"/>
      <c r="E373" s="296"/>
      <c r="F373" s="236"/>
      <c r="G373" s="662"/>
      <c r="H373" s="662"/>
      <c r="I373" s="197">
        <v>4</v>
      </c>
      <c r="J373" s="196" t="s">
        <v>616</v>
      </c>
      <c r="K373" s="597"/>
      <c r="L373" s="597"/>
      <c r="M373" s="597"/>
      <c r="N373" s="597"/>
      <c r="O373" s="597"/>
      <c r="P373" s="597"/>
      <c r="Q373" s="594"/>
      <c r="R373" s="594"/>
      <c r="S373" s="597"/>
      <c r="T373" s="46"/>
      <c r="U373" s="312"/>
      <c r="V373" s="312"/>
      <c r="W373" s="312"/>
      <c r="X373" s="312"/>
      <c r="Y373" s="312"/>
    </row>
    <row r="374" spans="1:25" ht="18" customHeight="1">
      <c r="A374" s="161" t="s">
        <v>617</v>
      </c>
      <c r="B374" s="12" t="s">
        <v>618</v>
      </c>
      <c r="C374" s="163"/>
      <c r="D374" s="471"/>
      <c r="E374" s="471"/>
      <c r="F374" s="237"/>
      <c r="G374" s="663"/>
      <c r="H374" s="663"/>
      <c r="I374" s="192">
        <v>77</v>
      </c>
      <c r="J374" s="198" t="s">
        <v>155</v>
      </c>
      <c r="K374" s="598"/>
      <c r="L374" s="598"/>
      <c r="M374" s="598"/>
      <c r="N374" s="598"/>
      <c r="O374" s="598"/>
      <c r="P374" s="598"/>
      <c r="Q374" s="595"/>
      <c r="R374" s="595"/>
      <c r="S374" s="598"/>
      <c r="T374" s="46"/>
      <c r="U374" s="313"/>
      <c r="V374" s="313"/>
      <c r="W374" s="313"/>
      <c r="X374" s="313"/>
      <c r="Y374" s="313"/>
    </row>
    <row r="375" spans="1:25" ht="18" customHeight="1">
      <c r="A375" s="161" t="s">
        <v>619</v>
      </c>
      <c r="B375" s="12" t="s">
        <v>620</v>
      </c>
      <c r="C375" s="163"/>
      <c r="D375" s="470">
        <v>31</v>
      </c>
      <c r="E375" s="470" t="s">
        <v>621</v>
      </c>
      <c r="F375" s="235"/>
      <c r="G375" s="662" t="s">
        <v>622</v>
      </c>
      <c r="H375" s="662"/>
      <c r="I375" s="197">
        <v>1</v>
      </c>
      <c r="J375" s="196" t="s">
        <v>120</v>
      </c>
      <c r="K375" s="596" t="s">
        <v>46</v>
      </c>
      <c r="L375" s="596">
        <v>1</v>
      </c>
      <c r="M375" s="596"/>
      <c r="N375" s="596" t="s">
        <v>50</v>
      </c>
      <c r="O375" s="596" t="s">
        <v>51</v>
      </c>
      <c r="P375" s="596" t="s">
        <v>45</v>
      </c>
      <c r="Q375" s="593"/>
      <c r="R375" s="593"/>
      <c r="S375" s="596"/>
      <c r="T375" s="596"/>
      <c r="U375" s="311"/>
      <c r="V375" s="311"/>
      <c r="W375" s="311"/>
      <c r="X375" s="311"/>
      <c r="Y375" s="311"/>
    </row>
    <row r="376" spans="1:25" ht="24" customHeight="1">
      <c r="A376" s="161" t="s">
        <v>606</v>
      </c>
      <c r="B376" s="12" t="s">
        <v>607</v>
      </c>
      <c r="C376" s="162"/>
      <c r="D376" s="296"/>
      <c r="E376" s="296"/>
      <c r="F376" s="236"/>
      <c r="G376" s="662"/>
      <c r="H376" s="662"/>
      <c r="I376" s="197">
        <v>2</v>
      </c>
      <c r="J376" s="196" t="s">
        <v>623</v>
      </c>
      <c r="K376" s="597"/>
      <c r="L376" s="597"/>
      <c r="M376" s="597"/>
      <c r="N376" s="597"/>
      <c r="O376" s="597"/>
      <c r="P376" s="597"/>
      <c r="Q376" s="594"/>
      <c r="R376" s="594"/>
      <c r="S376" s="597"/>
      <c r="T376" s="597"/>
      <c r="U376" s="312"/>
      <c r="V376" s="312"/>
      <c r="W376" s="312"/>
      <c r="X376" s="312"/>
      <c r="Y376" s="312"/>
    </row>
    <row r="377" spans="1:25" ht="22.5" customHeight="1">
      <c r="A377" s="664" t="s">
        <v>591</v>
      </c>
      <c r="B377" s="664" t="s">
        <v>592</v>
      </c>
      <c r="C377" s="162"/>
      <c r="D377" s="296"/>
      <c r="E377" s="296"/>
      <c r="F377" s="236"/>
      <c r="G377" s="662"/>
      <c r="H377" s="662"/>
      <c r="I377" s="197">
        <v>3</v>
      </c>
      <c r="J377" s="196" t="s">
        <v>624</v>
      </c>
      <c r="K377" s="597"/>
      <c r="L377" s="597"/>
      <c r="M377" s="597"/>
      <c r="N377" s="597"/>
      <c r="O377" s="597"/>
      <c r="P377" s="597"/>
      <c r="Q377" s="594"/>
      <c r="R377" s="594"/>
      <c r="S377" s="597"/>
      <c r="T377" s="597"/>
      <c r="U377" s="312"/>
      <c r="V377" s="312"/>
      <c r="W377" s="312"/>
      <c r="X377" s="312"/>
      <c r="Y377" s="312"/>
    </row>
    <row r="378" spans="1:25" ht="21.75" customHeight="1">
      <c r="A378" s="664"/>
      <c r="B378" s="664"/>
      <c r="C378" s="164"/>
      <c r="D378" s="296"/>
      <c r="E378" s="296"/>
      <c r="F378" s="236"/>
      <c r="G378" s="662"/>
      <c r="H378" s="662"/>
      <c r="I378" s="197">
        <v>4</v>
      </c>
      <c r="J378" s="196" t="s">
        <v>625</v>
      </c>
      <c r="K378" s="597"/>
      <c r="L378" s="597"/>
      <c r="M378" s="597"/>
      <c r="N378" s="597"/>
      <c r="O378" s="597"/>
      <c r="P378" s="597"/>
      <c r="Q378" s="594"/>
      <c r="R378" s="594"/>
      <c r="S378" s="597"/>
      <c r="T378" s="597"/>
      <c r="U378" s="312"/>
      <c r="V378" s="312"/>
      <c r="W378" s="312"/>
      <c r="X378" s="312"/>
      <c r="Y378" s="312"/>
    </row>
    <row r="379" spans="1:25" ht="15.75" customHeight="1">
      <c r="A379" s="664"/>
      <c r="B379" s="664"/>
      <c r="C379" s="162"/>
      <c r="D379" s="471"/>
      <c r="E379" s="471"/>
      <c r="F379" s="237"/>
      <c r="G379" s="662"/>
      <c r="H379" s="662"/>
      <c r="I379" s="197">
        <v>77</v>
      </c>
      <c r="J379" s="196" t="s">
        <v>155</v>
      </c>
      <c r="K379" s="598"/>
      <c r="L379" s="598"/>
      <c r="M379" s="598"/>
      <c r="N379" s="598"/>
      <c r="O379" s="598"/>
      <c r="P379" s="598"/>
      <c r="Q379" s="595"/>
      <c r="R379" s="595"/>
      <c r="S379" s="598"/>
      <c r="T379" s="598"/>
      <c r="U379" s="313"/>
      <c r="V379" s="313"/>
      <c r="W379" s="313"/>
      <c r="X379" s="313"/>
      <c r="Y379" s="313"/>
    </row>
    <row r="380" spans="1:25" ht="18" customHeight="1">
      <c r="A380" s="651" t="s">
        <v>626</v>
      </c>
      <c r="B380" s="654" t="s">
        <v>627</v>
      </c>
      <c r="D380" s="470">
        <v>31</v>
      </c>
      <c r="E380" s="470" t="s">
        <v>628</v>
      </c>
      <c r="F380" s="328"/>
      <c r="G380" s="695" t="s">
        <v>629</v>
      </c>
      <c r="H380" s="270"/>
      <c r="I380" s="100">
        <v>1</v>
      </c>
      <c r="J380" s="15" t="s">
        <v>630</v>
      </c>
      <c r="K380" s="228" t="s">
        <v>46</v>
      </c>
      <c r="L380" s="228">
        <v>1</v>
      </c>
      <c r="M380" s="228"/>
      <c r="N380" s="228" t="s">
        <v>161</v>
      </c>
      <c r="O380" s="228" t="s">
        <v>51</v>
      </c>
      <c r="P380" s="228" t="s">
        <v>45</v>
      </c>
      <c r="Q380" s="561"/>
      <c r="R380" s="561"/>
      <c r="S380" s="228"/>
      <c r="T380" s="46"/>
      <c r="U380" s="311"/>
      <c r="V380" s="311"/>
      <c r="W380" s="311"/>
      <c r="X380" s="311"/>
      <c r="Y380" s="311"/>
    </row>
    <row r="381" spans="1:25" ht="20.25" customHeight="1">
      <c r="A381" s="652"/>
      <c r="B381" s="655"/>
      <c r="D381" s="296"/>
      <c r="E381" s="296"/>
      <c r="F381" s="329"/>
      <c r="G381" s="696"/>
      <c r="H381" s="270"/>
      <c r="I381" s="100">
        <v>2</v>
      </c>
      <c r="J381" s="15" t="s">
        <v>631</v>
      </c>
      <c r="K381" s="229"/>
      <c r="L381" s="229"/>
      <c r="M381" s="229"/>
      <c r="N381" s="229"/>
      <c r="O381" s="229"/>
      <c r="P381" s="229"/>
      <c r="Q381" s="562"/>
      <c r="R381" s="562"/>
      <c r="S381" s="229"/>
      <c r="T381" s="46"/>
      <c r="U381" s="312"/>
      <c r="V381" s="312"/>
      <c r="W381" s="312"/>
      <c r="X381" s="312"/>
      <c r="Y381" s="312"/>
    </row>
    <row r="382" spans="1:25" ht="15.5">
      <c r="A382" s="652"/>
      <c r="B382" s="655"/>
      <c r="D382" s="296"/>
      <c r="E382" s="296"/>
      <c r="F382" s="329"/>
      <c r="G382" s="696"/>
      <c r="H382" s="270"/>
      <c r="I382" s="100">
        <v>3</v>
      </c>
      <c r="J382" s="15" t="s">
        <v>632</v>
      </c>
      <c r="K382" s="229"/>
      <c r="L382" s="229"/>
      <c r="M382" s="229"/>
      <c r="N382" s="229"/>
      <c r="O382" s="229"/>
      <c r="P382" s="229"/>
      <c r="Q382" s="562"/>
      <c r="R382" s="562"/>
      <c r="S382" s="229"/>
      <c r="T382" s="46"/>
      <c r="U382" s="312"/>
      <c r="V382" s="312"/>
      <c r="W382" s="312"/>
      <c r="X382" s="312"/>
      <c r="Y382" s="312"/>
    </row>
    <row r="383" spans="1:25" ht="15.5">
      <c r="A383" s="652"/>
      <c r="B383" s="655"/>
      <c r="D383" s="296"/>
      <c r="E383" s="296"/>
      <c r="F383" s="329"/>
      <c r="G383" s="696"/>
      <c r="H383" s="270"/>
      <c r="I383" s="100">
        <v>4</v>
      </c>
      <c r="J383" s="15" t="s">
        <v>287</v>
      </c>
      <c r="K383" s="229"/>
      <c r="L383" s="229"/>
      <c r="M383" s="229"/>
      <c r="N383" s="229"/>
      <c r="O383" s="229"/>
      <c r="P383" s="229"/>
      <c r="Q383" s="562"/>
      <c r="R383" s="562"/>
      <c r="S383" s="229"/>
      <c r="T383" s="46"/>
      <c r="U383" s="312"/>
      <c r="V383" s="312"/>
      <c r="W383" s="312"/>
      <c r="X383" s="312"/>
      <c r="Y383" s="312"/>
    </row>
    <row r="384" spans="1:25" ht="19.5" customHeight="1">
      <c r="A384" s="653"/>
      <c r="B384" s="656"/>
      <c r="D384" s="471"/>
      <c r="E384" s="471"/>
      <c r="F384" s="330"/>
      <c r="G384" s="697"/>
      <c r="H384" s="270"/>
      <c r="I384" s="100">
        <v>77</v>
      </c>
      <c r="J384" s="198" t="s">
        <v>155</v>
      </c>
      <c r="K384" s="230"/>
      <c r="L384" s="230"/>
      <c r="M384" s="230"/>
      <c r="N384" s="230"/>
      <c r="O384" s="230"/>
      <c r="P384" s="230"/>
      <c r="Q384" s="563"/>
      <c r="R384" s="563"/>
      <c r="S384" s="230"/>
      <c r="T384" s="46"/>
      <c r="U384" s="313"/>
      <c r="V384" s="313"/>
      <c r="W384" s="313"/>
      <c r="X384" s="313"/>
      <c r="Y384" s="313"/>
    </row>
    <row r="385" spans="1:25" ht="18" customHeight="1">
      <c r="A385" s="223" t="s">
        <v>633</v>
      </c>
      <c r="B385" s="223" t="s">
        <v>634</v>
      </c>
      <c r="C385" s="223" t="s">
        <v>146</v>
      </c>
      <c r="D385" s="224">
        <v>32</v>
      </c>
      <c r="E385" s="224" t="s">
        <v>635</v>
      </c>
      <c r="F385" s="269" t="s">
        <v>550</v>
      </c>
      <c r="G385" s="254" t="s">
        <v>636</v>
      </c>
      <c r="H385" s="270" t="s">
        <v>150</v>
      </c>
      <c r="I385" s="100">
        <v>1</v>
      </c>
      <c r="J385" s="15" t="s">
        <v>151</v>
      </c>
      <c r="K385" s="247" t="s">
        <v>46</v>
      </c>
      <c r="L385" s="247">
        <v>1</v>
      </c>
      <c r="M385" s="247"/>
      <c r="N385" s="328" t="s">
        <v>50</v>
      </c>
      <c r="O385" s="456" t="s">
        <v>51</v>
      </c>
      <c r="P385" s="456" t="s">
        <v>45</v>
      </c>
      <c r="Q385" s="406"/>
      <c r="R385" s="406"/>
      <c r="S385" s="241"/>
      <c r="T385" s="241"/>
      <c r="U385" s="241"/>
      <c r="V385" s="241"/>
      <c r="W385" s="241"/>
      <c r="X385" s="241"/>
      <c r="Y385" s="241"/>
    </row>
    <row r="386" spans="1:25" ht="20.25" customHeight="1">
      <c r="A386" s="223"/>
      <c r="B386" s="223"/>
      <c r="C386" s="223"/>
      <c r="D386" s="224"/>
      <c r="E386" s="224"/>
      <c r="F386" s="269"/>
      <c r="G386" s="254"/>
      <c r="H386" s="270"/>
      <c r="I386" s="100">
        <v>2</v>
      </c>
      <c r="J386" s="15" t="s">
        <v>152</v>
      </c>
      <c r="K386" s="247"/>
      <c r="L386" s="247"/>
      <c r="M386" s="247"/>
      <c r="N386" s="329"/>
      <c r="O386" s="457"/>
      <c r="P386" s="457"/>
      <c r="Q386" s="407"/>
      <c r="R386" s="407"/>
      <c r="S386" s="242"/>
      <c r="T386" s="242"/>
      <c r="U386" s="242"/>
      <c r="V386" s="242"/>
      <c r="W386" s="242"/>
      <c r="X386" s="242"/>
      <c r="Y386" s="242"/>
    </row>
    <row r="387" spans="1:25" ht="18" customHeight="1">
      <c r="A387" s="223" t="s">
        <v>637</v>
      </c>
      <c r="B387" s="223" t="s">
        <v>638</v>
      </c>
      <c r="C387" s="223" t="s">
        <v>639</v>
      </c>
      <c r="D387" s="224"/>
      <c r="E387" s="224"/>
      <c r="F387" s="269"/>
      <c r="G387" s="254"/>
      <c r="H387" s="270"/>
      <c r="I387" s="100">
        <v>3</v>
      </c>
      <c r="J387" s="15" t="s">
        <v>153</v>
      </c>
      <c r="K387" s="247"/>
      <c r="L387" s="247"/>
      <c r="M387" s="247"/>
      <c r="N387" s="329"/>
      <c r="O387" s="457"/>
      <c r="P387" s="457"/>
      <c r="Q387" s="407"/>
      <c r="R387" s="407"/>
      <c r="S387" s="242"/>
      <c r="T387" s="242"/>
      <c r="U387" s="242"/>
      <c r="V387" s="242"/>
      <c r="W387" s="242"/>
      <c r="X387" s="242"/>
      <c r="Y387" s="242"/>
    </row>
    <row r="388" spans="1:25" ht="20.25" customHeight="1">
      <c r="A388" s="223"/>
      <c r="B388" s="223"/>
      <c r="C388" s="223"/>
      <c r="D388" s="224"/>
      <c r="E388" s="224"/>
      <c r="F388" s="269"/>
      <c r="G388" s="254"/>
      <c r="H388" s="270"/>
      <c r="I388" s="100">
        <v>4</v>
      </c>
      <c r="J388" s="15" t="s">
        <v>154</v>
      </c>
      <c r="K388" s="247"/>
      <c r="L388" s="247"/>
      <c r="M388" s="247"/>
      <c r="N388" s="329"/>
      <c r="O388" s="457"/>
      <c r="P388" s="457"/>
      <c r="Q388" s="407"/>
      <c r="R388" s="407"/>
      <c r="S388" s="242"/>
      <c r="T388" s="242"/>
      <c r="U388" s="242"/>
      <c r="V388" s="242"/>
      <c r="W388" s="242"/>
      <c r="X388" s="242"/>
      <c r="Y388" s="242"/>
    </row>
    <row r="389" spans="1:25" ht="20.25" customHeight="1">
      <c r="A389" s="223"/>
      <c r="B389" s="223"/>
      <c r="C389" s="223"/>
      <c r="D389" s="224"/>
      <c r="E389" s="224"/>
      <c r="F389" s="269"/>
      <c r="G389" s="254"/>
      <c r="H389" s="270"/>
      <c r="I389" s="100">
        <v>77</v>
      </c>
      <c r="J389" s="198" t="s">
        <v>155</v>
      </c>
      <c r="K389" s="247"/>
      <c r="L389" s="247"/>
      <c r="M389" s="247"/>
      <c r="N389" s="330"/>
      <c r="O389" s="458"/>
      <c r="P389" s="458"/>
      <c r="Q389" s="408"/>
      <c r="R389" s="408"/>
      <c r="S389" s="243"/>
      <c r="T389" s="243"/>
      <c r="U389" s="243"/>
      <c r="V389" s="243"/>
      <c r="W389" s="243"/>
      <c r="X389" s="243"/>
      <c r="Y389" s="243"/>
    </row>
    <row r="390" spans="1:25" ht="18.75" customHeight="1">
      <c r="A390" s="223" t="s">
        <v>640</v>
      </c>
      <c r="B390" s="223" t="s">
        <v>641</v>
      </c>
      <c r="C390" s="223" t="s">
        <v>158</v>
      </c>
      <c r="D390" s="224">
        <v>32</v>
      </c>
      <c r="E390" s="224" t="s">
        <v>642</v>
      </c>
      <c r="F390" s="269" t="s">
        <v>643</v>
      </c>
      <c r="G390" s="254" t="s">
        <v>644</v>
      </c>
      <c r="H390" s="270" t="s">
        <v>150</v>
      </c>
      <c r="I390" s="112">
        <v>1</v>
      </c>
      <c r="J390" s="52" t="s">
        <v>151</v>
      </c>
      <c r="K390" s="247" t="s">
        <v>46</v>
      </c>
      <c r="L390" s="247">
        <v>1</v>
      </c>
      <c r="M390" s="247"/>
      <c r="N390" s="328" t="s">
        <v>50</v>
      </c>
      <c r="O390" s="235" t="s">
        <v>51</v>
      </c>
      <c r="P390" s="235" t="s">
        <v>45</v>
      </c>
      <c r="Q390" s="362"/>
      <c r="R390" s="362"/>
      <c r="S390" s="278"/>
      <c r="T390" s="278"/>
      <c r="U390" s="278"/>
      <c r="V390" s="278"/>
      <c r="W390" s="278"/>
      <c r="X390" s="278"/>
      <c r="Y390" s="278"/>
    </row>
    <row r="391" spans="1:25" ht="20.25" customHeight="1">
      <c r="A391" s="223"/>
      <c r="B391" s="223"/>
      <c r="C391" s="223"/>
      <c r="D391" s="224"/>
      <c r="E391" s="224"/>
      <c r="F391" s="269"/>
      <c r="G391" s="254"/>
      <c r="H391" s="270"/>
      <c r="I391" s="112">
        <v>2</v>
      </c>
      <c r="J391" s="52" t="s">
        <v>152</v>
      </c>
      <c r="K391" s="247"/>
      <c r="L391" s="247"/>
      <c r="M391" s="247"/>
      <c r="N391" s="329"/>
      <c r="O391" s="236"/>
      <c r="P391" s="236"/>
      <c r="Q391" s="363"/>
      <c r="R391" s="363"/>
      <c r="S391" s="279"/>
      <c r="T391" s="279"/>
      <c r="U391" s="279"/>
      <c r="V391" s="279"/>
      <c r="W391" s="279"/>
      <c r="X391" s="279"/>
      <c r="Y391" s="279"/>
    </row>
    <row r="392" spans="1:25" ht="20.25" customHeight="1">
      <c r="A392" s="223"/>
      <c r="B392" s="223"/>
      <c r="C392" s="223"/>
      <c r="D392" s="224"/>
      <c r="E392" s="224"/>
      <c r="F392" s="269"/>
      <c r="G392" s="254"/>
      <c r="H392" s="270"/>
      <c r="I392" s="112">
        <v>3</v>
      </c>
      <c r="J392" s="52" t="s">
        <v>153</v>
      </c>
      <c r="K392" s="247"/>
      <c r="L392" s="247"/>
      <c r="M392" s="247"/>
      <c r="N392" s="329"/>
      <c r="O392" s="236"/>
      <c r="P392" s="236"/>
      <c r="Q392" s="363"/>
      <c r="R392" s="363"/>
      <c r="S392" s="279"/>
      <c r="T392" s="279"/>
      <c r="U392" s="279"/>
      <c r="V392" s="279"/>
      <c r="W392" s="279"/>
      <c r="X392" s="279"/>
      <c r="Y392" s="279"/>
    </row>
    <row r="393" spans="1:25" ht="20.25" customHeight="1">
      <c r="A393" s="223"/>
      <c r="B393" s="223"/>
      <c r="C393" s="223"/>
      <c r="D393" s="224"/>
      <c r="E393" s="224"/>
      <c r="F393" s="269"/>
      <c r="G393" s="254"/>
      <c r="H393" s="270"/>
      <c r="I393" s="112">
        <v>4</v>
      </c>
      <c r="J393" s="52" t="s">
        <v>154</v>
      </c>
      <c r="K393" s="247"/>
      <c r="L393" s="247"/>
      <c r="M393" s="247"/>
      <c r="N393" s="329"/>
      <c r="O393" s="236"/>
      <c r="P393" s="236"/>
      <c r="Q393" s="363"/>
      <c r="R393" s="363"/>
      <c r="S393" s="279"/>
      <c r="T393" s="279"/>
      <c r="U393" s="279"/>
      <c r="V393" s="279"/>
      <c r="W393" s="279"/>
      <c r="X393" s="279"/>
      <c r="Y393" s="279"/>
    </row>
    <row r="394" spans="1:25" ht="20.25" customHeight="1">
      <c r="A394" s="223"/>
      <c r="B394" s="223"/>
      <c r="C394" s="223"/>
      <c r="D394" s="224"/>
      <c r="E394" s="224"/>
      <c r="F394" s="269"/>
      <c r="G394" s="254"/>
      <c r="H394" s="270"/>
      <c r="I394" s="112">
        <v>77</v>
      </c>
      <c r="J394" s="52" t="s">
        <v>155</v>
      </c>
      <c r="K394" s="247"/>
      <c r="L394" s="247"/>
      <c r="M394" s="247"/>
      <c r="N394" s="330"/>
      <c r="O394" s="237"/>
      <c r="P394" s="237"/>
      <c r="Q394" s="364"/>
      <c r="R394" s="364"/>
      <c r="S394" s="280"/>
      <c r="T394" s="280"/>
      <c r="U394" s="280"/>
      <c r="V394" s="280"/>
      <c r="W394" s="280"/>
      <c r="X394" s="280"/>
      <c r="Y394" s="280"/>
    </row>
    <row r="395" spans="1:25" s="5" customFormat="1" ht="18.75" customHeight="1">
      <c r="A395" s="254" t="s">
        <v>645</v>
      </c>
      <c r="B395" s="254" t="s">
        <v>646</v>
      </c>
      <c r="C395" s="254" t="s">
        <v>158</v>
      </c>
      <c r="D395" s="606">
        <v>32</v>
      </c>
      <c r="E395" s="606" t="s">
        <v>647</v>
      </c>
      <c r="F395" s="254" t="s">
        <v>643</v>
      </c>
      <c r="G395" s="254" t="s">
        <v>648</v>
      </c>
      <c r="H395" s="270" t="s">
        <v>150</v>
      </c>
      <c r="I395" s="100">
        <v>1</v>
      </c>
      <c r="J395" s="15" t="s">
        <v>151</v>
      </c>
      <c r="K395" s="255" t="s">
        <v>46</v>
      </c>
      <c r="L395" s="255">
        <v>1</v>
      </c>
      <c r="M395" s="255"/>
      <c r="N395" s="676" t="s">
        <v>50</v>
      </c>
      <c r="O395" s="679" t="s">
        <v>51</v>
      </c>
      <c r="P395" s="679" t="s">
        <v>45</v>
      </c>
      <c r="Q395" s="631"/>
      <c r="R395" s="631"/>
      <c r="S395" s="289"/>
      <c r="T395" s="289"/>
      <c r="U395" s="682"/>
      <c r="V395" s="289"/>
      <c r="W395" s="289"/>
      <c r="X395" s="289"/>
      <c r="Y395" s="289"/>
    </row>
    <row r="396" spans="1:25" s="5" customFormat="1" ht="20.25" customHeight="1">
      <c r="A396" s="254"/>
      <c r="B396" s="254"/>
      <c r="C396" s="254"/>
      <c r="D396" s="606"/>
      <c r="E396" s="606"/>
      <c r="F396" s="254"/>
      <c r="G396" s="254"/>
      <c r="H396" s="270"/>
      <c r="I396" s="100">
        <v>2</v>
      </c>
      <c r="J396" s="15" t="s">
        <v>152</v>
      </c>
      <c r="K396" s="255"/>
      <c r="L396" s="255"/>
      <c r="M396" s="255"/>
      <c r="N396" s="677"/>
      <c r="O396" s="680"/>
      <c r="P396" s="680"/>
      <c r="Q396" s="692"/>
      <c r="R396" s="692"/>
      <c r="S396" s="290"/>
      <c r="T396" s="290"/>
      <c r="U396" s="683"/>
      <c r="V396" s="290"/>
      <c r="W396" s="290"/>
      <c r="X396" s="290"/>
      <c r="Y396" s="290"/>
    </row>
    <row r="397" spans="1:25" s="5" customFormat="1" ht="20.25" customHeight="1">
      <c r="A397" s="254"/>
      <c r="B397" s="254"/>
      <c r="C397" s="254"/>
      <c r="D397" s="606"/>
      <c r="E397" s="606"/>
      <c r="F397" s="254"/>
      <c r="G397" s="254"/>
      <c r="H397" s="270"/>
      <c r="I397" s="100">
        <v>3</v>
      </c>
      <c r="J397" s="15" t="s">
        <v>153</v>
      </c>
      <c r="K397" s="255"/>
      <c r="L397" s="255"/>
      <c r="M397" s="255"/>
      <c r="N397" s="677"/>
      <c r="O397" s="680"/>
      <c r="P397" s="680"/>
      <c r="Q397" s="692"/>
      <c r="R397" s="692"/>
      <c r="S397" s="290"/>
      <c r="T397" s="290"/>
      <c r="U397" s="683"/>
      <c r="V397" s="290"/>
      <c r="W397" s="290"/>
      <c r="X397" s="290"/>
      <c r="Y397" s="290"/>
    </row>
    <row r="398" spans="1:25" s="5" customFormat="1" ht="20.25" customHeight="1">
      <c r="A398" s="254"/>
      <c r="B398" s="254"/>
      <c r="C398" s="254"/>
      <c r="D398" s="606"/>
      <c r="E398" s="606"/>
      <c r="F398" s="254"/>
      <c r="G398" s="254"/>
      <c r="H398" s="270"/>
      <c r="I398" s="100">
        <v>4</v>
      </c>
      <c r="J398" s="15" t="s">
        <v>154</v>
      </c>
      <c r="K398" s="255"/>
      <c r="L398" s="255"/>
      <c r="M398" s="255"/>
      <c r="N398" s="677"/>
      <c r="O398" s="680"/>
      <c r="P398" s="680"/>
      <c r="Q398" s="692"/>
      <c r="R398" s="692"/>
      <c r="S398" s="290"/>
      <c r="T398" s="290"/>
      <c r="U398" s="683"/>
      <c r="V398" s="290"/>
      <c r="W398" s="290"/>
      <c r="X398" s="290"/>
      <c r="Y398" s="290"/>
    </row>
    <row r="399" spans="1:25" s="5" customFormat="1" ht="18" customHeight="1">
      <c r="A399" s="254"/>
      <c r="B399" s="254"/>
      <c r="C399" s="254"/>
      <c r="D399" s="606"/>
      <c r="E399" s="606"/>
      <c r="F399" s="254"/>
      <c r="G399" s="254"/>
      <c r="H399" s="270"/>
      <c r="I399" s="100">
        <v>77</v>
      </c>
      <c r="J399" s="15" t="s">
        <v>155</v>
      </c>
      <c r="K399" s="255"/>
      <c r="L399" s="255"/>
      <c r="M399" s="255"/>
      <c r="N399" s="678"/>
      <c r="O399" s="681"/>
      <c r="P399" s="681"/>
      <c r="Q399" s="632"/>
      <c r="R399" s="632"/>
      <c r="S399" s="291"/>
      <c r="T399" s="291"/>
      <c r="U399" s="684"/>
      <c r="V399" s="291"/>
      <c r="W399" s="291"/>
      <c r="X399" s="291"/>
      <c r="Y399" s="291"/>
    </row>
    <row r="400" spans="1:25" ht="18" customHeight="1">
      <c r="A400" s="223" t="s">
        <v>649</v>
      </c>
      <c r="B400" s="223" t="s">
        <v>650</v>
      </c>
      <c r="C400" s="223" t="s">
        <v>225</v>
      </c>
      <c r="D400" s="224">
        <v>32</v>
      </c>
      <c r="E400" s="268" t="s">
        <v>651</v>
      </c>
      <c r="F400" s="269" t="s">
        <v>477</v>
      </c>
      <c r="G400" s="254" t="s">
        <v>652</v>
      </c>
      <c r="H400" s="270" t="s">
        <v>653</v>
      </c>
      <c r="I400" s="100">
        <v>1</v>
      </c>
      <c r="J400" s="15" t="s">
        <v>135</v>
      </c>
      <c r="K400" s="247" t="s">
        <v>46</v>
      </c>
      <c r="L400" s="247">
        <v>1</v>
      </c>
      <c r="M400" s="247"/>
      <c r="N400" s="256" t="s">
        <v>50</v>
      </c>
      <c r="O400" s="295" t="s">
        <v>51</v>
      </c>
      <c r="P400" s="295" t="s">
        <v>45</v>
      </c>
      <c r="Q400" s="295"/>
      <c r="R400" s="295"/>
      <c r="S400" s="295"/>
      <c r="T400" s="295"/>
      <c r="U400" s="295"/>
      <c r="V400" s="295"/>
      <c r="W400" s="295"/>
      <c r="X400" s="295"/>
      <c r="Y400" s="295"/>
    </row>
    <row r="401" spans="1:25" ht="20.25" customHeight="1">
      <c r="A401" s="223"/>
      <c r="B401" s="223"/>
      <c r="C401" s="223"/>
      <c r="D401" s="224"/>
      <c r="E401" s="268"/>
      <c r="F401" s="269"/>
      <c r="G401" s="254"/>
      <c r="H401" s="270"/>
      <c r="I401" s="100">
        <v>2</v>
      </c>
      <c r="J401" s="15" t="s">
        <v>119</v>
      </c>
      <c r="K401" s="247"/>
      <c r="L401" s="247"/>
      <c r="M401" s="247"/>
      <c r="N401" s="257"/>
      <c r="O401" s="296"/>
      <c r="P401" s="296"/>
      <c r="Q401" s="296"/>
      <c r="R401" s="296"/>
      <c r="S401" s="296"/>
      <c r="T401" s="296"/>
      <c r="U401" s="296"/>
      <c r="V401" s="296"/>
      <c r="W401" s="296"/>
      <c r="X401" s="296"/>
      <c r="Y401" s="296"/>
    </row>
    <row r="402" spans="1:25" ht="20.25" customHeight="1">
      <c r="A402" s="223"/>
      <c r="B402" s="223"/>
      <c r="C402" s="223"/>
      <c r="D402" s="224"/>
      <c r="E402" s="268"/>
      <c r="F402" s="269"/>
      <c r="G402" s="254"/>
      <c r="H402" s="270"/>
      <c r="I402" s="100">
        <v>77</v>
      </c>
      <c r="J402" s="15" t="s">
        <v>155</v>
      </c>
      <c r="K402" s="247"/>
      <c r="L402" s="247"/>
      <c r="M402" s="247"/>
      <c r="N402" s="257"/>
      <c r="O402" s="296"/>
      <c r="P402" s="296"/>
      <c r="Q402" s="296"/>
      <c r="R402" s="296"/>
      <c r="S402" s="296"/>
      <c r="T402" s="296"/>
      <c r="U402" s="296"/>
      <c r="V402" s="296"/>
      <c r="W402" s="296"/>
      <c r="X402" s="296"/>
      <c r="Y402" s="296"/>
    </row>
    <row r="403" spans="1:25" s="28" customFormat="1" ht="18" customHeight="1">
      <c r="A403" s="254" t="s">
        <v>40</v>
      </c>
      <c r="B403" s="254" t="s">
        <v>40</v>
      </c>
      <c r="C403" s="254" t="s">
        <v>40</v>
      </c>
      <c r="D403" s="479">
        <v>33</v>
      </c>
      <c r="E403" s="479" t="s">
        <v>654</v>
      </c>
      <c r="F403" s="263" t="s">
        <v>655</v>
      </c>
      <c r="G403" s="254" t="s">
        <v>656</v>
      </c>
      <c r="H403" s="267" t="s">
        <v>40</v>
      </c>
      <c r="I403" s="106">
        <v>1</v>
      </c>
      <c r="J403" s="49" t="s">
        <v>531</v>
      </c>
      <c r="K403" s="365" t="s">
        <v>46</v>
      </c>
      <c r="L403" s="365">
        <v>1</v>
      </c>
      <c r="M403" s="539" t="s">
        <v>40</v>
      </c>
      <c r="N403" s="338" t="s">
        <v>50</v>
      </c>
      <c r="O403" s="338" t="s">
        <v>51</v>
      </c>
      <c r="P403" s="338" t="s">
        <v>45</v>
      </c>
      <c r="Q403" s="636"/>
      <c r="R403" s="636"/>
      <c r="S403" s="638" t="s">
        <v>40</v>
      </c>
      <c r="T403" s="37" t="s">
        <v>40</v>
      </c>
      <c r="U403" s="331"/>
      <c r="V403" s="95" t="s">
        <v>40</v>
      </c>
      <c r="W403" s="95" t="s">
        <v>40</v>
      </c>
      <c r="X403" s="95" t="s">
        <v>40</v>
      </c>
      <c r="Y403" s="95" t="s">
        <v>40</v>
      </c>
    </row>
    <row r="404" spans="1:25" s="28" customFormat="1" ht="18" customHeight="1">
      <c r="A404" s="254"/>
      <c r="B404" s="254"/>
      <c r="C404" s="254"/>
      <c r="D404" s="479"/>
      <c r="E404" s="479"/>
      <c r="F404" s="263"/>
      <c r="G404" s="254"/>
      <c r="H404" s="267"/>
      <c r="I404" s="106">
        <v>2</v>
      </c>
      <c r="J404" s="15" t="s">
        <v>657</v>
      </c>
      <c r="K404" s="365"/>
      <c r="L404" s="365"/>
      <c r="M404" s="539"/>
      <c r="N404" s="338"/>
      <c r="O404" s="338"/>
      <c r="P404" s="338"/>
      <c r="Q404" s="637"/>
      <c r="R404" s="637"/>
      <c r="S404" s="639"/>
      <c r="T404" s="37"/>
      <c r="U404" s="332"/>
      <c r="V404" s="95"/>
      <c r="W404" s="95"/>
      <c r="X404" s="95"/>
      <c r="Y404" s="95"/>
    </row>
    <row r="405" spans="1:25" s="28" customFormat="1" ht="18" customHeight="1">
      <c r="A405" s="254"/>
      <c r="B405" s="254"/>
      <c r="C405" s="254"/>
      <c r="D405" s="479"/>
      <c r="E405" s="479"/>
      <c r="F405" s="263"/>
      <c r="G405" s="254"/>
      <c r="H405" s="267"/>
      <c r="I405" s="106">
        <v>3</v>
      </c>
      <c r="J405" s="49" t="s">
        <v>533</v>
      </c>
      <c r="K405" s="365"/>
      <c r="L405" s="365"/>
      <c r="M405" s="539"/>
      <c r="N405" s="338"/>
      <c r="O405" s="338"/>
      <c r="P405" s="338"/>
      <c r="Q405" s="637"/>
      <c r="R405" s="637"/>
      <c r="S405" s="639"/>
      <c r="T405" s="37"/>
      <c r="U405" s="332"/>
      <c r="V405" s="95"/>
      <c r="W405" s="95"/>
      <c r="X405" s="95"/>
      <c r="Y405" s="95"/>
    </row>
    <row r="406" spans="1:25" s="28" customFormat="1" ht="18" customHeight="1">
      <c r="A406" s="254"/>
      <c r="B406" s="254"/>
      <c r="C406" s="254"/>
      <c r="D406" s="479"/>
      <c r="E406" s="479"/>
      <c r="F406" s="263"/>
      <c r="G406" s="254"/>
      <c r="H406" s="267"/>
      <c r="I406" s="106">
        <v>4</v>
      </c>
      <c r="J406" s="15" t="s">
        <v>658</v>
      </c>
      <c r="K406" s="365"/>
      <c r="L406" s="365"/>
      <c r="M406" s="539"/>
      <c r="N406" s="338"/>
      <c r="O406" s="338"/>
      <c r="P406" s="338"/>
      <c r="Q406" s="637"/>
      <c r="R406" s="637"/>
      <c r="S406" s="639"/>
      <c r="T406" s="37" t="s">
        <v>40</v>
      </c>
      <c r="U406" s="332"/>
      <c r="V406" s="95" t="s">
        <v>40</v>
      </c>
      <c r="W406" s="95" t="s">
        <v>40</v>
      </c>
      <c r="X406" s="95" t="s">
        <v>40</v>
      </c>
      <c r="Y406" s="95" t="s">
        <v>40</v>
      </c>
    </row>
    <row r="407" spans="1:25" s="28" customFormat="1" ht="18" customHeight="1">
      <c r="A407" s="254"/>
      <c r="B407" s="254"/>
      <c r="C407" s="254"/>
      <c r="D407" s="479"/>
      <c r="E407" s="479"/>
      <c r="F407" s="263"/>
      <c r="G407" s="254"/>
      <c r="H407" s="267"/>
      <c r="I407" s="104">
        <v>77</v>
      </c>
      <c r="J407" s="16" t="s">
        <v>155</v>
      </c>
      <c r="K407" s="365"/>
      <c r="L407" s="365"/>
      <c r="M407" s="539"/>
      <c r="N407" s="338"/>
      <c r="O407" s="338"/>
      <c r="P407" s="338"/>
      <c r="Q407" s="637"/>
      <c r="R407" s="637"/>
      <c r="S407" s="639"/>
      <c r="T407" s="37" t="s">
        <v>40</v>
      </c>
      <c r="U407" s="334"/>
      <c r="V407" s="95" t="s">
        <v>40</v>
      </c>
      <c r="W407" s="95" t="s">
        <v>40</v>
      </c>
      <c r="X407" s="95" t="s">
        <v>40</v>
      </c>
      <c r="Y407" s="95" t="s">
        <v>40</v>
      </c>
    </row>
    <row r="408" spans="1:25" ht="20.25" customHeight="1">
      <c r="A408" s="223" t="s">
        <v>395</v>
      </c>
      <c r="B408" s="223" t="s">
        <v>396</v>
      </c>
      <c r="C408" s="223" t="s">
        <v>659</v>
      </c>
      <c r="D408" s="224">
        <v>33</v>
      </c>
      <c r="E408" s="224" t="s">
        <v>660</v>
      </c>
      <c r="F408" s="287" t="s">
        <v>661</v>
      </c>
      <c r="G408" s="223" t="s">
        <v>662</v>
      </c>
      <c r="H408" s="600"/>
      <c r="I408" s="112">
        <v>1</v>
      </c>
      <c r="J408" s="52" t="s">
        <v>120</v>
      </c>
      <c r="K408" s="247" t="s">
        <v>46</v>
      </c>
      <c r="L408" s="247">
        <v>1</v>
      </c>
      <c r="M408" s="247"/>
      <c r="N408" s="256" t="s">
        <v>50</v>
      </c>
      <c r="O408" s="256" t="s">
        <v>51</v>
      </c>
      <c r="P408" s="256" t="s">
        <v>45</v>
      </c>
      <c r="Q408" s="256"/>
      <c r="R408" s="256"/>
      <c r="S408" s="256"/>
      <c r="T408" s="256"/>
      <c r="U408" s="256"/>
      <c r="V408" s="256"/>
      <c r="W408" s="256"/>
      <c r="X408" s="256"/>
      <c r="Y408" s="256"/>
    </row>
    <row r="409" spans="1:25" ht="20.25" customHeight="1">
      <c r="A409" s="223"/>
      <c r="B409" s="223"/>
      <c r="C409" s="223"/>
      <c r="D409" s="224"/>
      <c r="E409" s="224"/>
      <c r="F409" s="287"/>
      <c r="G409" s="223"/>
      <c r="H409" s="600"/>
      <c r="I409" s="112">
        <v>2</v>
      </c>
      <c r="J409" s="52" t="s">
        <v>391</v>
      </c>
      <c r="K409" s="247"/>
      <c r="L409" s="247"/>
      <c r="M409" s="247"/>
      <c r="N409" s="257"/>
      <c r="O409" s="257"/>
      <c r="P409" s="257"/>
      <c r="Q409" s="257"/>
      <c r="R409" s="257"/>
      <c r="S409" s="257"/>
      <c r="T409" s="257"/>
      <c r="U409" s="257"/>
      <c r="V409" s="257"/>
      <c r="W409" s="257"/>
      <c r="X409" s="257"/>
      <c r="Y409" s="257"/>
    </row>
    <row r="410" spans="1:25" ht="20.25" customHeight="1">
      <c r="A410" s="223"/>
      <c r="B410" s="223"/>
      <c r="C410" s="223"/>
      <c r="D410" s="224"/>
      <c r="E410" s="224"/>
      <c r="F410" s="287"/>
      <c r="G410" s="223"/>
      <c r="H410" s="600"/>
      <c r="I410" s="112">
        <v>3</v>
      </c>
      <c r="J410" s="52" t="s">
        <v>394</v>
      </c>
      <c r="K410" s="247"/>
      <c r="L410" s="247"/>
      <c r="M410" s="247"/>
      <c r="N410" s="257"/>
      <c r="O410" s="257"/>
      <c r="P410" s="257"/>
      <c r="Q410" s="257"/>
      <c r="R410" s="257"/>
      <c r="S410" s="257"/>
      <c r="T410" s="257"/>
      <c r="U410" s="257"/>
      <c r="V410" s="257"/>
      <c r="W410" s="257"/>
      <c r="X410" s="257"/>
      <c r="Y410" s="257"/>
    </row>
    <row r="411" spans="1:25" ht="20.25" customHeight="1">
      <c r="A411" s="223"/>
      <c r="B411" s="223"/>
      <c r="C411" s="223"/>
      <c r="D411" s="224"/>
      <c r="E411" s="224"/>
      <c r="F411" s="287"/>
      <c r="G411" s="223"/>
      <c r="H411" s="600"/>
      <c r="I411" s="112">
        <v>4</v>
      </c>
      <c r="J411" s="52" t="s">
        <v>397</v>
      </c>
      <c r="K411" s="247"/>
      <c r="L411" s="247"/>
      <c r="M411" s="247"/>
      <c r="N411" s="257"/>
      <c r="O411" s="257"/>
      <c r="P411" s="257"/>
      <c r="Q411" s="257"/>
      <c r="R411" s="257"/>
      <c r="S411" s="257"/>
      <c r="T411" s="257"/>
      <c r="U411" s="257"/>
      <c r="V411" s="257"/>
      <c r="W411" s="257"/>
      <c r="X411" s="257"/>
      <c r="Y411" s="257"/>
    </row>
    <row r="412" spans="1:25" ht="18.75" customHeight="1">
      <c r="A412" s="223" t="s">
        <v>535</v>
      </c>
      <c r="B412" s="223" t="s">
        <v>536</v>
      </c>
      <c r="C412" s="223" t="s">
        <v>225</v>
      </c>
      <c r="D412" s="224">
        <v>33</v>
      </c>
      <c r="E412" s="224" t="s">
        <v>663</v>
      </c>
      <c r="F412" s="269" t="s">
        <v>664</v>
      </c>
      <c r="G412" s="254" t="s">
        <v>665</v>
      </c>
      <c r="H412" s="270"/>
      <c r="I412" s="100">
        <v>1</v>
      </c>
      <c r="J412" s="15" t="s">
        <v>540</v>
      </c>
      <c r="K412" s="247" t="s">
        <v>46</v>
      </c>
      <c r="L412" s="247">
        <v>1</v>
      </c>
      <c r="M412" s="247"/>
      <c r="N412" s="256" t="s">
        <v>50</v>
      </c>
      <c r="O412" s="295" t="s">
        <v>51</v>
      </c>
      <c r="P412" s="295" t="s">
        <v>45</v>
      </c>
      <c r="Q412" s="406"/>
      <c r="R412" s="422"/>
      <c r="S412" s="295"/>
      <c r="T412" s="295"/>
      <c r="U412" s="295"/>
      <c r="V412" s="295"/>
      <c r="W412" s="295"/>
      <c r="X412" s="295"/>
      <c r="Y412" s="295"/>
    </row>
    <row r="413" spans="1:25" ht="20.25" customHeight="1">
      <c r="A413" s="223"/>
      <c r="B413" s="223"/>
      <c r="C413" s="223"/>
      <c r="D413" s="224"/>
      <c r="E413" s="224"/>
      <c r="F413" s="269"/>
      <c r="G413" s="254"/>
      <c r="H413" s="270"/>
      <c r="I413" s="100">
        <v>2</v>
      </c>
      <c r="J413" s="15" t="s">
        <v>541</v>
      </c>
      <c r="K413" s="247"/>
      <c r="L413" s="247"/>
      <c r="M413" s="247"/>
      <c r="N413" s="257"/>
      <c r="O413" s="296"/>
      <c r="P413" s="296"/>
      <c r="Q413" s="407"/>
      <c r="R413" s="423"/>
      <c r="S413" s="296"/>
      <c r="T413" s="296"/>
      <c r="U413" s="296"/>
      <c r="V413" s="296"/>
      <c r="W413" s="296"/>
      <c r="X413" s="296"/>
      <c r="Y413" s="296"/>
    </row>
    <row r="414" spans="1:25" ht="20.25" customHeight="1">
      <c r="A414" s="223"/>
      <c r="B414" s="223"/>
      <c r="C414" s="223"/>
      <c r="D414" s="224"/>
      <c r="E414" s="224"/>
      <c r="F414" s="269"/>
      <c r="G414" s="254"/>
      <c r="H414" s="270"/>
      <c r="I414" s="100">
        <v>77</v>
      </c>
      <c r="J414" s="15" t="s">
        <v>155</v>
      </c>
      <c r="K414" s="247"/>
      <c r="L414" s="247"/>
      <c r="M414" s="247"/>
      <c r="N414" s="301"/>
      <c r="O414" s="297"/>
      <c r="P414" s="297"/>
      <c r="Q414" s="408"/>
      <c r="R414" s="424"/>
      <c r="S414" s="297"/>
      <c r="T414" s="297"/>
      <c r="U414" s="297"/>
      <c r="V414" s="297"/>
      <c r="W414" s="297"/>
      <c r="X414" s="297"/>
      <c r="Y414" s="297"/>
    </row>
    <row r="415" spans="1:25" ht="18" customHeight="1">
      <c r="A415" s="223" t="s">
        <v>666</v>
      </c>
      <c r="B415" s="223" t="s">
        <v>667</v>
      </c>
      <c r="C415" s="223" t="s">
        <v>184</v>
      </c>
      <c r="D415" s="224">
        <v>33</v>
      </c>
      <c r="E415" s="224" t="s">
        <v>668</v>
      </c>
      <c r="F415" s="269" t="s">
        <v>669</v>
      </c>
      <c r="G415" s="254" t="s">
        <v>670</v>
      </c>
      <c r="H415" s="288"/>
      <c r="I415" s="102">
        <v>1</v>
      </c>
      <c r="J415" s="15" t="s">
        <v>671</v>
      </c>
      <c r="K415" s="247" t="s">
        <v>46</v>
      </c>
      <c r="L415" s="247">
        <v>1</v>
      </c>
      <c r="M415" s="247"/>
      <c r="N415" s="256" t="s">
        <v>50</v>
      </c>
      <c r="O415" s="225" t="s">
        <v>51</v>
      </c>
      <c r="P415" s="225" t="s">
        <v>45</v>
      </c>
      <c r="Q415" s="362"/>
      <c r="R415" s="362"/>
      <c r="S415" s="225"/>
      <c r="T415" s="225"/>
      <c r="U415" s="256"/>
      <c r="V415" s="225"/>
      <c r="W415" s="225"/>
      <c r="X415" s="225"/>
      <c r="Y415" s="225"/>
    </row>
    <row r="416" spans="1:25" ht="18" customHeight="1">
      <c r="A416" s="223"/>
      <c r="B416" s="223"/>
      <c r="C416" s="223"/>
      <c r="D416" s="224"/>
      <c r="E416" s="224"/>
      <c r="F416" s="269"/>
      <c r="G416" s="254"/>
      <c r="H416" s="288"/>
      <c r="I416" s="102">
        <v>2</v>
      </c>
      <c r="J416" s="15" t="s">
        <v>672</v>
      </c>
      <c r="K416" s="247"/>
      <c r="L416" s="247"/>
      <c r="M416" s="247"/>
      <c r="N416" s="257"/>
      <c r="O416" s="226"/>
      <c r="P416" s="226"/>
      <c r="Q416" s="363"/>
      <c r="R416" s="363"/>
      <c r="S416" s="226"/>
      <c r="T416" s="226"/>
      <c r="U416" s="257"/>
      <c r="V416" s="226"/>
      <c r="W416" s="226"/>
      <c r="X416" s="226"/>
      <c r="Y416" s="226"/>
    </row>
    <row r="417" spans="1:216" ht="18" customHeight="1">
      <c r="A417" s="223"/>
      <c r="B417" s="223"/>
      <c r="C417" s="223"/>
      <c r="D417" s="224"/>
      <c r="E417" s="224"/>
      <c r="F417" s="269"/>
      <c r="G417" s="254"/>
      <c r="H417" s="288"/>
      <c r="I417" s="102">
        <v>3</v>
      </c>
      <c r="J417" s="15" t="s">
        <v>673</v>
      </c>
      <c r="K417" s="247"/>
      <c r="L417" s="247"/>
      <c r="M417" s="247"/>
      <c r="N417" s="257"/>
      <c r="O417" s="226"/>
      <c r="P417" s="226"/>
      <c r="Q417" s="363"/>
      <c r="R417" s="363"/>
      <c r="S417" s="226"/>
      <c r="T417" s="226"/>
      <c r="U417" s="257"/>
      <c r="V417" s="226"/>
      <c r="W417" s="226"/>
      <c r="X417" s="226"/>
      <c r="Y417" s="226"/>
    </row>
    <row r="418" spans="1:216" ht="18" customHeight="1">
      <c r="A418" s="223"/>
      <c r="B418" s="223"/>
      <c r="C418" s="223"/>
      <c r="D418" s="224"/>
      <c r="E418" s="224"/>
      <c r="F418" s="269"/>
      <c r="G418" s="254"/>
      <c r="H418" s="288"/>
      <c r="I418" s="102">
        <v>4</v>
      </c>
      <c r="J418" s="15" t="s">
        <v>674</v>
      </c>
      <c r="K418" s="247"/>
      <c r="L418" s="247"/>
      <c r="M418" s="247"/>
      <c r="N418" s="257"/>
      <c r="O418" s="226"/>
      <c r="P418" s="226"/>
      <c r="Q418" s="363"/>
      <c r="R418" s="363"/>
      <c r="S418" s="226"/>
      <c r="T418" s="226"/>
      <c r="U418" s="257"/>
      <c r="V418" s="226"/>
      <c r="W418" s="226"/>
      <c r="X418" s="226"/>
      <c r="Y418" s="226"/>
    </row>
    <row r="419" spans="1:216" ht="18" customHeight="1">
      <c r="A419" s="223"/>
      <c r="B419" s="223"/>
      <c r="C419" s="223"/>
      <c r="D419" s="224"/>
      <c r="E419" s="224"/>
      <c r="F419" s="269"/>
      <c r="G419" s="254"/>
      <c r="H419" s="288"/>
      <c r="I419" s="102">
        <v>77</v>
      </c>
      <c r="J419" s="15" t="s">
        <v>155</v>
      </c>
      <c r="K419" s="247"/>
      <c r="L419" s="247"/>
      <c r="M419" s="247"/>
      <c r="N419" s="301"/>
      <c r="O419" s="227"/>
      <c r="P419" s="227"/>
      <c r="Q419" s="364"/>
      <c r="R419" s="364"/>
      <c r="S419" s="227"/>
      <c r="T419" s="227"/>
      <c r="U419" s="257"/>
      <c r="V419" s="227"/>
      <c r="W419" s="227"/>
      <c r="X419" s="227"/>
      <c r="Y419" s="227"/>
    </row>
    <row r="420" spans="1:216" ht="79.5" customHeight="1">
      <c r="A420" s="15"/>
      <c r="B420" s="15"/>
      <c r="C420" s="15"/>
      <c r="D420" s="171">
        <v>34</v>
      </c>
      <c r="E420" s="171" t="s">
        <v>675</v>
      </c>
      <c r="F420" s="15" t="s">
        <v>676</v>
      </c>
      <c r="G420" s="65" t="s">
        <v>677</v>
      </c>
      <c r="H420" s="75"/>
      <c r="I420" s="113"/>
      <c r="J420" s="59"/>
      <c r="K420" s="102" t="s">
        <v>46</v>
      </c>
      <c r="L420" s="102">
        <v>1</v>
      </c>
      <c r="M420" s="102"/>
      <c r="N420" s="127" t="s">
        <v>44</v>
      </c>
      <c r="O420" s="182"/>
      <c r="P420" s="182"/>
      <c r="Q420" s="184"/>
      <c r="R420" s="184"/>
      <c r="S420" s="50"/>
      <c r="T420" s="50"/>
      <c r="U420" s="50"/>
      <c r="V420" s="50"/>
      <c r="W420" s="50"/>
      <c r="X420" s="50"/>
      <c r="Y420" s="50"/>
    </row>
    <row r="421" spans="1:216" ht="18.75" customHeight="1">
      <c r="A421" s="223" t="s">
        <v>678</v>
      </c>
      <c r="B421" s="223" t="s">
        <v>679</v>
      </c>
      <c r="C421" s="223" t="s">
        <v>184</v>
      </c>
      <c r="D421" s="224">
        <v>34</v>
      </c>
      <c r="E421" s="224" t="s">
        <v>680</v>
      </c>
      <c r="F421" s="269" t="s">
        <v>681</v>
      </c>
      <c r="G421" s="287" t="s">
        <v>682</v>
      </c>
      <c r="H421" s="369" t="s">
        <v>683</v>
      </c>
      <c r="I421" s="100">
        <v>1</v>
      </c>
      <c r="J421" s="125" t="s">
        <v>135</v>
      </c>
      <c r="K421" s="247" t="s">
        <v>46</v>
      </c>
      <c r="L421" s="247">
        <v>1</v>
      </c>
      <c r="M421" s="247"/>
      <c r="N421" s="256" t="s">
        <v>50</v>
      </c>
      <c r="O421" s="225" t="s">
        <v>51</v>
      </c>
      <c r="P421" s="225" t="s">
        <v>45</v>
      </c>
      <c r="Q421" s="362"/>
      <c r="R421" s="362"/>
      <c r="S421" s="225"/>
      <c r="T421" s="225"/>
      <c r="U421" s="366"/>
      <c r="V421" s="225"/>
      <c r="W421" s="225"/>
      <c r="X421" s="225"/>
      <c r="Y421" s="225"/>
    </row>
    <row r="422" spans="1:216" ht="18" customHeight="1">
      <c r="A422" s="223"/>
      <c r="B422" s="223"/>
      <c r="C422" s="223"/>
      <c r="D422" s="224"/>
      <c r="E422" s="224"/>
      <c r="F422" s="269"/>
      <c r="G422" s="287"/>
      <c r="H422" s="369"/>
      <c r="I422" s="100">
        <v>2</v>
      </c>
      <c r="J422" s="125" t="s">
        <v>684</v>
      </c>
      <c r="K422" s="247"/>
      <c r="L422" s="247"/>
      <c r="M422" s="247"/>
      <c r="N422" s="257"/>
      <c r="O422" s="226"/>
      <c r="P422" s="226"/>
      <c r="Q422" s="363"/>
      <c r="R422" s="363"/>
      <c r="S422" s="226"/>
      <c r="T422" s="226"/>
      <c r="U422" s="367"/>
      <c r="V422" s="226"/>
      <c r="W422" s="226"/>
      <c r="X422" s="226"/>
      <c r="Y422" s="226"/>
    </row>
    <row r="423" spans="1:216" ht="18.75" customHeight="1">
      <c r="A423" s="223"/>
      <c r="B423" s="223"/>
      <c r="C423" s="223"/>
      <c r="D423" s="224"/>
      <c r="E423" s="224"/>
      <c r="F423" s="269"/>
      <c r="G423" s="287"/>
      <c r="H423" s="369"/>
      <c r="I423" s="100">
        <v>3</v>
      </c>
      <c r="J423" s="125" t="s">
        <v>685</v>
      </c>
      <c r="K423" s="247"/>
      <c r="L423" s="247"/>
      <c r="M423" s="247"/>
      <c r="N423" s="257"/>
      <c r="O423" s="226"/>
      <c r="P423" s="226"/>
      <c r="Q423" s="363"/>
      <c r="R423" s="363"/>
      <c r="S423" s="226"/>
      <c r="T423" s="226"/>
      <c r="U423" s="367"/>
      <c r="V423" s="226"/>
      <c r="W423" s="226"/>
      <c r="X423" s="226"/>
      <c r="Y423" s="226"/>
    </row>
    <row r="424" spans="1:216" ht="18.75" customHeight="1">
      <c r="A424" s="223"/>
      <c r="B424" s="223"/>
      <c r="C424" s="223"/>
      <c r="D424" s="224"/>
      <c r="E424" s="224"/>
      <c r="F424" s="269"/>
      <c r="G424" s="287"/>
      <c r="H424" s="369"/>
      <c r="I424" s="100">
        <v>4</v>
      </c>
      <c r="J424" s="125" t="s">
        <v>686</v>
      </c>
      <c r="K424" s="247"/>
      <c r="L424" s="247"/>
      <c r="M424" s="247"/>
      <c r="N424" s="257"/>
      <c r="O424" s="226"/>
      <c r="P424" s="226"/>
      <c r="Q424" s="363"/>
      <c r="R424" s="363"/>
      <c r="S424" s="226"/>
      <c r="T424" s="226"/>
      <c r="U424" s="367"/>
      <c r="V424" s="226"/>
      <c r="W424" s="226"/>
      <c r="X424" s="226"/>
      <c r="Y424" s="226"/>
    </row>
    <row r="425" spans="1:216" ht="18" customHeight="1">
      <c r="A425" s="223"/>
      <c r="B425" s="223"/>
      <c r="C425" s="223"/>
      <c r="D425" s="224"/>
      <c r="E425" s="224"/>
      <c r="F425" s="269"/>
      <c r="G425" s="287"/>
      <c r="H425" s="369"/>
      <c r="I425" s="100">
        <v>77</v>
      </c>
      <c r="J425" s="125" t="s">
        <v>687</v>
      </c>
      <c r="K425" s="247"/>
      <c r="L425" s="247"/>
      <c r="M425" s="247"/>
      <c r="N425" s="301"/>
      <c r="O425" s="227"/>
      <c r="P425" s="227"/>
      <c r="Q425" s="364"/>
      <c r="R425" s="364"/>
      <c r="S425" s="227"/>
      <c r="T425" s="227"/>
      <c r="U425" s="368"/>
      <c r="V425" s="227"/>
      <c r="W425" s="227"/>
      <c r="X425" s="227"/>
      <c r="Y425" s="227"/>
    </row>
    <row r="426" spans="1:216" ht="18" customHeight="1">
      <c r="A426" s="223" t="s">
        <v>688</v>
      </c>
      <c r="B426" s="223" t="s">
        <v>689</v>
      </c>
      <c r="C426" s="223" t="s">
        <v>184</v>
      </c>
      <c r="D426" s="224">
        <v>34</v>
      </c>
      <c r="E426" s="224" t="s">
        <v>690</v>
      </c>
      <c r="F426" s="269" t="s">
        <v>691</v>
      </c>
      <c r="G426" s="287" t="s">
        <v>692</v>
      </c>
      <c r="H426" s="270" t="s">
        <v>150</v>
      </c>
      <c r="I426" s="100">
        <v>1</v>
      </c>
      <c r="J426" s="15" t="s">
        <v>151</v>
      </c>
      <c r="K426" s="247" t="s">
        <v>46</v>
      </c>
      <c r="L426" s="247">
        <v>1</v>
      </c>
      <c r="M426" s="247"/>
      <c r="N426" s="298" t="s">
        <v>50</v>
      </c>
      <c r="O426" s="298" t="s">
        <v>51</v>
      </c>
      <c r="P426" s="298" t="s">
        <v>45</v>
      </c>
      <c r="Q426" s="687"/>
      <c r="R426" s="687"/>
      <c r="S426" s="298"/>
      <c r="T426" s="298"/>
      <c r="U426" s="298"/>
      <c r="V426" s="298"/>
      <c r="W426" s="298"/>
      <c r="X426" s="298"/>
      <c r="Y426" s="298"/>
    </row>
    <row r="427" spans="1:216" ht="18" customHeight="1">
      <c r="A427" s="223"/>
      <c r="B427" s="223"/>
      <c r="C427" s="223"/>
      <c r="D427" s="224"/>
      <c r="E427" s="224"/>
      <c r="F427" s="269"/>
      <c r="G427" s="287"/>
      <c r="H427" s="270"/>
      <c r="I427" s="100">
        <v>2</v>
      </c>
      <c r="J427" s="15" t="s">
        <v>152</v>
      </c>
      <c r="K427" s="247"/>
      <c r="L427" s="247"/>
      <c r="M427" s="247"/>
      <c r="N427" s="299"/>
      <c r="O427" s="299"/>
      <c r="P427" s="299"/>
      <c r="Q427" s="688"/>
      <c r="R427" s="688"/>
      <c r="S427" s="299"/>
      <c r="T427" s="299"/>
      <c r="U427" s="299"/>
      <c r="V427" s="299"/>
      <c r="W427" s="299"/>
      <c r="X427" s="299"/>
      <c r="Y427" s="299"/>
    </row>
    <row r="428" spans="1:216" ht="20.25" customHeight="1">
      <c r="A428" s="223"/>
      <c r="B428" s="223"/>
      <c r="C428" s="223"/>
      <c r="D428" s="224"/>
      <c r="E428" s="224"/>
      <c r="F428" s="269"/>
      <c r="G428" s="287"/>
      <c r="H428" s="270"/>
      <c r="I428" s="100">
        <v>3</v>
      </c>
      <c r="J428" s="15" t="s">
        <v>153</v>
      </c>
      <c r="K428" s="247"/>
      <c r="L428" s="247"/>
      <c r="M428" s="247"/>
      <c r="N428" s="299"/>
      <c r="O428" s="299"/>
      <c r="P428" s="299"/>
      <c r="Q428" s="688"/>
      <c r="R428" s="688"/>
      <c r="S428" s="299"/>
      <c r="T428" s="299"/>
      <c r="U428" s="299"/>
      <c r="V428" s="299"/>
      <c r="W428" s="299"/>
      <c r="X428" s="299"/>
      <c r="Y428" s="299"/>
    </row>
    <row r="429" spans="1:216" ht="20.25" customHeight="1">
      <c r="A429" s="223"/>
      <c r="B429" s="223"/>
      <c r="C429" s="223"/>
      <c r="D429" s="224"/>
      <c r="E429" s="224"/>
      <c r="F429" s="269"/>
      <c r="G429" s="287"/>
      <c r="H429" s="270"/>
      <c r="I429" s="100">
        <v>4</v>
      </c>
      <c r="J429" s="15" t="s">
        <v>154</v>
      </c>
      <c r="K429" s="247"/>
      <c r="L429" s="247"/>
      <c r="M429" s="247"/>
      <c r="N429" s="299"/>
      <c r="O429" s="299"/>
      <c r="P429" s="299"/>
      <c r="Q429" s="688"/>
      <c r="R429" s="688"/>
      <c r="S429" s="299"/>
      <c r="T429" s="299"/>
      <c r="U429" s="299"/>
      <c r="V429" s="299"/>
      <c r="W429" s="299"/>
      <c r="X429" s="299"/>
      <c r="Y429" s="299"/>
    </row>
    <row r="430" spans="1:216" ht="20.25" customHeight="1">
      <c r="A430" s="223"/>
      <c r="B430" s="223"/>
      <c r="C430" s="223"/>
      <c r="D430" s="224"/>
      <c r="E430" s="224"/>
      <c r="F430" s="269"/>
      <c r="G430" s="287"/>
      <c r="H430" s="270"/>
      <c r="I430" s="100">
        <v>77</v>
      </c>
      <c r="J430" s="15" t="s">
        <v>155</v>
      </c>
      <c r="K430" s="247"/>
      <c r="L430" s="247"/>
      <c r="M430" s="247"/>
      <c r="N430" s="300"/>
      <c r="O430" s="300"/>
      <c r="P430" s="300"/>
      <c r="Q430" s="689"/>
      <c r="R430" s="689"/>
      <c r="S430" s="300"/>
      <c r="T430" s="300"/>
      <c r="U430" s="300"/>
      <c r="V430" s="300"/>
      <c r="W430" s="300"/>
      <c r="X430" s="300"/>
      <c r="Y430" s="300"/>
    </row>
    <row r="431" spans="1:216" ht="20.25" customHeight="1">
      <c r="A431" s="449" t="s">
        <v>693</v>
      </c>
      <c r="B431" s="449" t="s">
        <v>694</v>
      </c>
      <c r="C431" s="345" t="s">
        <v>695</v>
      </c>
      <c r="D431" s="446">
        <v>34</v>
      </c>
      <c r="E431" s="446" t="s">
        <v>696</v>
      </c>
      <c r="F431" s="359" t="s">
        <v>697</v>
      </c>
      <c r="G431" s="356" t="s">
        <v>698</v>
      </c>
      <c r="H431" s="359" t="s">
        <v>699</v>
      </c>
      <c r="I431" s="126">
        <v>1</v>
      </c>
      <c r="J431" s="125" t="s">
        <v>700</v>
      </c>
      <c r="K431" s="536" t="s">
        <v>46</v>
      </c>
      <c r="L431" s="536">
        <v>1</v>
      </c>
      <c r="M431" s="536" t="s">
        <v>40</v>
      </c>
      <c r="N431" s="536" t="s">
        <v>50</v>
      </c>
      <c r="O431" s="536" t="s">
        <v>51</v>
      </c>
      <c r="P431" s="536" t="s">
        <v>45</v>
      </c>
      <c r="Q431" s="693" t="s">
        <v>40</v>
      </c>
      <c r="R431" s="446" t="s">
        <v>40</v>
      </c>
      <c r="S431" s="345" t="s">
        <v>40</v>
      </c>
      <c r="T431" s="87"/>
      <c r="U431" s="308"/>
      <c r="V431" s="308"/>
      <c r="W431" s="308"/>
      <c r="X431" s="308"/>
      <c r="Y431" s="308"/>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87"/>
      <c r="EM431" s="87"/>
      <c r="EN431" s="87"/>
      <c r="EO431" s="87"/>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c r="FL431" s="87"/>
      <c r="FM431" s="87"/>
      <c r="FN431" s="87"/>
      <c r="FO431" s="87"/>
      <c r="FP431" s="87"/>
      <c r="FQ431" s="87"/>
      <c r="FR431" s="87"/>
      <c r="FS431" s="87"/>
      <c r="FT431" s="87"/>
      <c r="FU431" s="87"/>
      <c r="FV431" s="87"/>
      <c r="FW431" s="87"/>
      <c r="FX431" s="87"/>
      <c r="FY431" s="87"/>
      <c r="FZ431" s="87"/>
      <c r="GA431" s="87"/>
      <c r="GB431" s="87"/>
      <c r="GC431" s="87"/>
      <c r="GD431" s="87"/>
      <c r="GE431" s="87"/>
      <c r="GF431" s="87"/>
      <c r="GG431" s="87"/>
      <c r="GH431" s="87"/>
      <c r="GI431" s="87"/>
      <c r="GJ431" s="87"/>
      <c r="GK431" s="87"/>
      <c r="GL431" s="87"/>
      <c r="GM431" s="87"/>
      <c r="GN431" s="87"/>
      <c r="GO431" s="87"/>
      <c r="GP431" s="87"/>
      <c r="GQ431" s="87"/>
      <c r="GR431" s="87"/>
      <c r="GS431" s="87"/>
      <c r="GT431" s="87"/>
      <c r="GU431" s="87"/>
      <c r="GV431" s="87"/>
      <c r="GW431" s="87"/>
      <c r="GX431" s="87"/>
      <c r="GY431" s="87"/>
      <c r="GZ431" s="87"/>
      <c r="HA431" s="87"/>
      <c r="HB431" s="87"/>
      <c r="HC431" s="87"/>
      <c r="HD431" s="87"/>
      <c r="HE431" s="87"/>
      <c r="HF431" s="87"/>
      <c r="HG431" s="87"/>
      <c r="HH431" s="87"/>
    </row>
    <row r="432" spans="1:216" ht="20.25" customHeight="1">
      <c r="A432" s="450"/>
      <c r="B432" s="450"/>
      <c r="C432" s="346"/>
      <c r="D432" s="447"/>
      <c r="E432" s="447"/>
      <c r="F432" s="360"/>
      <c r="G432" s="357"/>
      <c r="H432" s="360"/>
      <c r="I432" s="127">
        <v>2</v>
      </c>
      <c r="J432" s="125" t="s">
        <v>701</v>
      </c>
      <c r="K432" s="537"/>
      <c r="L432" s="537"/>
      <c r="M432" s="537"/>
      <c r="N432" s="537"/>
      <c r="O432" s="537"/>
      <c r="P432" s="537"/>
      <c r="Q432" s="694"/>
      <c r="R432" s="447"/>
      <c r="S432" s="346"/>
      <c r="T432" s="87"/>
      <c r="U432" s="309"/>
      <c r="V432" s="309"/>
      <c r="W432" s="309"/>
      <c r="X432" s="309"/>
      <c r="Y432" s="309"/>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87"/>
      <c r="EM432" s="87"/>
      <c r="EN432" s="87"/>
      <c r="EO432" s="87"/>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c r="FL432" s="87"/>
      <c r="FM432" s="87"/>
      <c r="FN432" s="87"/>
      <c r="FO432" s="87"/>
      <c r="FP432" s="87"/>
      <c r="FQ432" s="87"/>
      <c r="FR432" s="87"/>
      <c r="FS432" s="87"/>
      <c r="FT432" s="87"/>
      <c r="FU432" s="87"/>
      <c r="FV432" s="87"/>
      <c r="FW432" s="87"/>
      <c r="FX432" s="87"/>
      <c r="FY432" s="87"/>
      <c r="FZ432" s="87"/>
      <c r="GA432" s="87"/>
      <c r="GB432" s="87"/>
      <c r="GC432" s="87"/>
      <c r="GD432" s="87"/>
      <c r="GE432" s="87"/>
      <c r="GF432" s="87"/>
      <c r="GG432" s="87"/>
      <c r="GH432" s="87"/>
      <c r="GI432" s="87"/>
      <c r="GJ432" s="87"/>
      <c r="GK432" s="87"/>
      <c r="GL432" s="87"/>
      <c r="GM432" s="87"/>
      <c r="GN432" s="87"/>
      <c r="GO432" s="87"/>
      <c r="GP432" s="87"/>
      <c r="GQ432" s="87"/>
      <c r="GR432" s="87"/>
      <c r="GS432" s="87"/>
      <c r="GT432" s="87"/>
      <c r="GU432" s="87"/>
      <c r="GV432" s="87"/>
      <c r="GW432" s="87"/>
      <c r="GX432" s="87"/>
      <c r="GY432" s="87"/>
      <c r="GZ432" s="87"/>
      <c r="HA432" s="87"/>
      <c r="HB432" s="87"/>
      <c r="HC432" s="87"/>
      <c r="HD432" s="87"/>
      <c r="HE432" s="87"/>
      <c r="HF432" s="87"/>
      <c r="HG432" s="87"/>
      <c r="HH432" s="87"/>
    </row>
    <row r="433" spans="1:216" ht="20.25" customHeight="1">
      <c r="A433" s="450"/>
      <c r="B433" s="450"/>
      <c r="C433" s="346"/>
      <c r="D433" s="447"/>
      <c r="E433" s="447"/>
      <c r="F433" s="360"/>
      <c r="G433" s="357"/>
      <c r="H433" s="360"/>
      <c r="I433" s="126">
        <v>3</v>
      </c>
      <c r="J433" s="125" t="s">
        <v>702</v>
      </c>
      <c r="K433" s="537"/>
      <c r="L433" s="537"/>
      <c r="M433" s="537"/>
      <c r="N433" s="537"/>
      <c r="O433" s="537"/>
      <c r="P433" s="537"/>
      <c r="Q433" s="694"/>
      <c r="R433" s="447"/>
      <c r="S433" s="346"/>
      <c r="T433" s="87"/>
      <c r="U433" s="309"/>
      <c r="V433" s="309"/>
      <c r="W433" s="309"/>
      <c r="X433" s="309"/>
      <c r="Y433" s="309"/>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87"/>
      <c r="EM433" s="87"/>
      <c r="EN433" s="87"/>
      <c r="EO433" s="87"/>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c r="FL433" s="87"/>
      <c r="FM433" s="87"/>
      <c r="FN433" s="87"/>
      <c r="FO433" s="87"/>
      <c r="FP433" s="87"/>
      <c r="FQ433" s="87"/>
      <c r="FR433" s="87"/>
      <c r="FS433" s="87"/>
      <c r="FT433" s="87"/>
      <c r="FU433" s="87"/>
      <c r="FV433" s="87"/>
      <c r="FW433" s="87"/>
      <c r="FX433" s="87"/>
      <c r="FY433" s="87"/>
      <c r="FZ433" s="87"/>
      <c r="GA433" s="87"/>
      <c r="GB433" s="87"/>
      <c r="GC433" s="87"/>
      <c r="GD433" s="87"/>
      <c r="GE433" s="87"/>
      <c r="GF433" s="87"/>
      <c r="GG433" s="87"/>
      <c r="GH433" s="87"/>
      <c r="GI433" s="87"/>
      <c r="GJ433" s="87"/>
      <c r="GK433" s="87"/>
      <c r="GL433" s="87"/>
      <c r="GM433" s="87"/>
      <c r="GN433" s="87"/>
      <c r="GO433" s="87"/>
      <c r="GP433" s="87"/>
      <c r="GQ433" s="87"/>
      <c r="GR433" s="87"/>
      <c r="GS433" s="87"/>
      <c r="GT433" s="87"/>
      <c r="GU433" s="87"/>
      <c r="GV433" s="87"/>
      <c r="GW433" s="87"/>
      <c r="GX433" s="87"/>
      <c r="GY433" s="87"/>
      <c r="GZ433" s="87"/>
      <c r="HA433" s="87"/>
      <c r="HB433" s="87"/>
      <c r="HC433" s="87"/>
      <c r="HD433" s="87"/>
      <c r="HE433" s="87"/>
      <c r="HF433" s="87"/>
      <c r="HG433" s="87"/>
      <c r="HH433" s="87"/>
    </row>
    <row r="434" spans="1:216" ht="20.25" customHeight="1">
      <c r="A434" s="451"/>
      <c r="B434" s="451"/>
      <c r="C434" s="346"/>
      <c r="D434" s="447"/>
      <c r="E434" s="447"/>
      <c r="F434" s="360"/>
      <c r="G434" s="357"/>
      <c r="H434" s="360"/>
      <c r="I434" s="127">
        <v>4</v>
      </c>
      <c r="J434" s="125" t="s">
        <v>703</v>
      </c>
      <c r="K434" s="537"/>
      <c r="L434" s="537"/>
      <c r="M434" s="537"/>
      <c r="N434" s="537"/>
      <c r="O434" s="537"/>
      <c r="P434" s="537"/>
      <c r="Q434" s="694"/>
      <c r="R434" s="447"/>
      <c r="S434" s="346"/>
      <c r="T434" s="87"/>
      <c r="U434" s="309"/>
      <c r="V434" s="309"/>
      <c r="W434" s="309"/>
      <c r="X434" s="309"/>
      <c r="Y434" s="309"/>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87"/>
      <c r="EM434" s="87"/>
      <c r="EN434" s="87"/>
      <c r="EO434" s="87"/>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c r="FL434" s="87"/>
      <c r="FM434" s="87"/>
      <c r="FN434" s="87"/>
      <c r="FO434" s="87"/>
      <c r="FP434" s="87"/>
      <c r="FQ434" s="87"/>
      <c r="FR434" s="87"/>
      <c r="FS434" s="87"/>
      <c r="FT434" s="87"/>
      <c r="FU434" s="87"/>
      <c r="FV434" s="87"/>
      <c r="FW434" s="87"/>
      <c r="FX434" s="87"/>
      <c r="FY434" s="87"/>
      <c r="FZ434" s="87"/>
      <c r="GA434" s="87"/>
      <c r="GB434" s="87"/>
      <c r="GC434" s="87"/>
      <c r="GD434" s="87"/>
      <c r="GE434" s="87"/>
      <c r="GF434" s="87"/>
      <c r="GG434" s="87"/>
      <c r="GH434" s="87"/>
      <c r="GI434" s="87"/>
      <c r="GJ434" s="87"/>
      <c r="GK434" s="87"/>
      <c r="GL434" s="87"/>
      <c r="GM434" s="87"/>
      <c r="GN434" s="87"/>
      <c r="GO434" s="87"/>
      <c r="GP434" s="87"/>
      <c r="GQ434" s="87"/>
      <c r="GR434" s="87"/>
      <c r="GS434" s="87"/>
      <c r="GT434" s="87"/>
      <c r="GU434" s="87"/>
      <c r="GV434" s="87"/>
      <c r="GW434" s="87"/>
      <c r="GX434" s="87"/>
      <c r="GY434" s="87"/>
      <c r="GZ434" s="87"/>
      <c r="HA434" s="87"/>
      <c r="HB434" s="87"/>
      <c r="HC434" s="87"/>
      <c r="HD434" s="87"/>
      <c r="HE434" s="87"/>
      <c r="HF434" s="87"/>
      <c r="HG434" s="87"/>
      <c r="HH434" s="87"/>
    </row>
    <row r="435" spans="1:216" ht="20.25" customHeight="1">
      <c r="A435" s="137" t="s">
        <v>704</v>
      </c>
      <c r="B435" s="141" t="s">
        <v>694</v>
      </c>
      <c r="C435" s="347"/>
      <c r="D435" s="448"/>
      <c r="E435" s="448"/>
      <c r="F435" s="361"/>
      <c r="G435" s="358"/>
      <c r="H435" s="361"/>
      <c r="I435" s="126">
        <v>77</v>
      </c>
      <c r="J435" s="204" t="s">
        <v>155</v>
      </c>
      <c r="K435" s="538"/>
      <c r="L435" s="538"/>
      <c r="M435" s="538"/>
      <c r="N435" s="538"/>
      <c r="O435" s="538"/>
      <c r="P435" s="538"/>
      <c r="Q435" s="694"/>
      <c r="R435" s="447"/>
      <c r="S435" s="346"/>
      <c r="T435" s="87"/>
      <c r="U435" s="310"/>
      <c r="V435" s="310"/>
      <c r="W435" s="310"/>
      <c r="X435" s="310"/>
      <c r="Y435" s="310"/>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87"/>
      <c r="EM435" s="87"/>
      <c r="EN435" s="87"/>
      <c r="EO435" s="87"/>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c r="FL435" s="87"/>
      <c r="FM435" s="87"/>
      <c r="FN435" s="87"/>
      <c r="FO435" s="87"/>
      <c r="FP435" s="87"/>
      <c r="FQ435" s="87"/>
      <c r="FR435" s="87"/>
      <c r="FS435" s="87"/>
      <c r="FT435" s="87"/>
      <c r="FU435" s="87"/>
      <c r="FV435" s="87"/>
      <c r="FW435" s="87"/>
      <c r="FX435" s="87"/>
      <c r="FY435" s="87"/>
      <c r="FZ435" s="87"/>
      <c r="GA435" s="87"/>
      <c r="GB435" s="87"/>
      <c r="GC435" s="87"/>
      <c r="GD435" s="87"/>
      <c r="GE435" s="87"/>
      <c r="GF435" s="87"/>
      <c r="GG435" s="87"/>
      <c r="GH435" s="87"/>
      <c r="GI435" s="87"/>
      <c r="GJ435" s="87"/>
      <c r="GK435" s="87"/>
      <c r="GL435" s="87"/>
      <c r="GM435" s="87"/>
      <c r="GN435" s="87"/>
      <c r="GO435" s="87"/>
      <c r="GP435" s="87"/>
      <c r="GQ435" s="87"/>
      <c r="GR435" s="87"/>
      <c r="GS435" s="87"/>
      <c r="GT435" s="87"/>
      <c r="GU435" s="87"/>
      <c r="GV435" s="87"/>
      <c r="GW435" s="87"/>
      <c r="GX435" s="87"/>
      <c r="GY435" s="87"/>
      <c r="GZ435" s="87"/>
      <c r="HA435" s="87"/>
      <c r="HB435" s="87"/>
      <c r="HC435" s="87"/>
      <c r="HD435" s="87"/>
      <c r="HE435" s="87"/>
      <c r="HF435" s="87"/>
      <c r="HG435" s="87"/>
      <c r="HH435" s="87"/>
    </row>
    <row r="436" spans="1:216" ht="20.25" customHeight="1">
      <c r="A436" s="107" t="s">
        <v>705</v>
      </c>
      <c r="B436" s="107" t="s">
        <v>706</v>
      </c>
      <c r="C436" s="465" t="s">
        <v>695</v>
      </c>
      <c r="D436" s="453">
        <v>35</v>
      </c>
      <c r="E436" s="453" t="s">
        <v>707</v>
      </c>
      <c r="F436" s="359" t="s">
        <v>708</v>
      </c>
      <c r="G436" s="356" t="s">
        <v>709</v>
      </c>
      <c r="H436" s="359" t="s">
        <v>699</v>
      </c>
      <c r="I436" s="126">
        <v>1</v>
      </c>
      <c r="J436" s="125" t="s">
        <v>710</v>
      </c>
      <c r="K436" s="536" t="s">
        <v>46</v>
      </c>
      <c r="L436" s="536">
        <v>1</v>
      </c>
      <c r="M436" s="536" t="s">
        <v>40</v>
      </c>
      <c r="N436" s="536" t="s">
        <v>50</v>
      </c>
      <c r="O436" s="536" t="s">
        <v>51</v>
      </c>
      <c r="P436" s="673" t="s">
        <v>45</v>
      </c>
      <c r="Q436" s="484"/>
      <c r="R436" s="484"/>
      <c r="S436" s="345" t="s">
        <v>40</v>
      </c>
      <c r="T436" s="87"/>
      <c r="U436" s="603"/>
      <c r="V436" s="603"/>
      <c r="W436" s="603"/>
      <c r="X436" s="603"/>
      <c r="Y436" s="603"/>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87"/>
      <c r="EM436" s="87"/>
      <c r="EN436" s="87"/>
      <c r="EO436" s="87"/>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c r="FL436" s="87"/>
      <c r="FM436" s="87"/>
      <c r="FN436" s="87"/>
      <c r="FO436" s="87"/>
      <c r="FP436" s="87"/>
      <c r="FQ436" s="87"/>
      <c r="FR436" s="87"/>
      <c r="FS436" s="87"/>
      <c r="FT436" s="87"/>
      <c r="FU436" s="87"/>
      <c r="FV436" s="87"/>
      <c r="FW436" s="87"/>
      <c r="FX436" s="87"/>
      <c r="FY436" s="87"/>
      <c r="FZ436" s="87"/>
      <c r="GA436" s="87"/>
      <c r="GB436" s="87"/>
      <c r="GC436" s="87"/>
      <c r="GD436" s="87"/>
      <c r="GE436" s="87"/>
      <c r="GF436" s="87"/>
      <c r="GG436" s="87"/>
      <c r="GH436" s="87"/>
      <c r="GI436" s="87"/>
      <c r="GJ436" s="87"/>
      <c r="GK436" s="87"/>
      <c r="GL436" s="87"/>
      <c r="GM436" s="87"/>
      <c r="GN436" s="87"/>
      <c r="GO436" s="87"/>
      <c r="GP436" s="87"/>
      <c r="GQ436" s="87"/>
      <c r="GR436" s="87"/>
      <c r="GS436" s="87"/>
      <c r="GT436" s="87"/>
      <c r="GU436" s="87"/>
      <c r="GV436" s="87"/>
      <c r="GW436" s="87"/>
      <c r="GX436" s="87"/>
      <c r="GY436" s="87"/>
      <c r="GZ436" s="87"/>
      <c r="HA436" s="87"/>
      <c r="HB436" s="87"/>
      <c r="HC436" s="87"/>
      <c r="HD436" s="87"/>
      <c r="HE436" s="87"/>
      <c r="HF436" s="87"/>
      <c r="HG436" s="87"/>
      <c r="HH436" s="87"/>
    </row>
    <row r="437" spans="1:216" ht="20.25" customHeight="1">
      <c r="A437" s="107" t="s">
        <v>711</v>
      </c>
      <c r="B437" s="107" t="s">
        <v>706</v>
      </c>
      <c r="C437" s="466"/>
      <c r="D437" s="454"/>
      <c r="E437" s="454"/>
      <c r="F437" s="360"/>
      <c r="G437" s="357"/>
      <c r="H437" s="360"/>
      <c r="I437" s="127">
        <v>2</v>
      </c>
      <c r="J437" s="125" t="s">
        <v>712</v>
      </c>
      <c r="K437" s="537"/>
      <c r="L437" s="537"/>
      <c r="M437" s="537"/>
      <c r="N437" s="537"/>
      <c r="O437" s="537"/>
      <c r="P437" s="674"/>
      <c r="Q437" s="485"/>
      <c r="R437" s="485"/>
      <c r="S437" s="346"/>
      <c r="T437" s="87"/>
      <c r="U437" s="309"/>
      <c r="V437" s="309"/>
      <c r="W437" s="309"/>
      <c r="X437" s="309"/>
      <c r="Y437" s="309"/>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87"/>
      <c r="EM437" s="87"/>
      <c r="EN437" s="87"/>
      <c r="EO437" s="87"/>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c r="FL437" s="87"/>
      <c r="FM437" s="87"/>
      <c r="FN437" s="87"/>
      <c r="FO437" s="87"/>
      <c r="FP437" s="87"/>
      <c r="FQ437" s="87"/>
      <c r="FR437" s="87"/>
      <c r="FS437" s="87"/>
      <c r="FT437" s="87"/>
      <c r="FU437" s="87"/>
      <c r="FV437" s="87"/>
      <c r="FW437" s="87"/>
      <c r="FX437" s="87"/>
      <c r="FY437" s="87"/>
      <c r="FZ437" s="87"/>
      <c r="GA437" s="87"/>
      <c r="GB437" s="87"/>
      <c r="GC437" s="87"/>
      <c r="GD437" s="87"/>
      <c r="GE437" s="87"/>
      <c r="GF437" s="87"/>
      <c r="GG437" s="87"/>
      <c r="GH437" s="87"/>
      <c r="GI437" s="87"/>
      <c r="GJ437" s="87"/>
      <c r="GK437" s="87"/>
      <c r="GL437" s="87"/>
      <c r="GM437" s="87"/>
      <c r="GN437" s="87"/>
      <c r="GO437" s="87"/>
      <c r="GP437" s="87"/>
      <c r="GQ437" s="87"/>
      <c r="GR437" s="87"/>
      <c r="GS437" s="87"/>
      <c r="GT437" s="87"/>
      <c r="GU437" s="87"/>
      <c r="GV437" s="87"/>
      <c r="GW437" s="87"/>
      <c r="GX437" s="87"/>
      <c r="GY437" s="87"/>
      <c r="GZ437" s="87"/>
      <c r="HA437" s="87"/>
      <c r="HB437" s="87"/>
      <c r="HC437" s="87"/>
      <c r="HD437" s="87"/>
      <c r="HE437" s="87"/>
      <c r="HF437" s="87"/>
      <c r="HG437" s="87"/>
      <c r="HH437" s="87"/>
    </row>
    <row r="438" spans="1:216" ht="20.25" customHeight="1">
      <c r="A438" s="107" t="s">
        <v>713</v>
      </c>
      <c r="B438" s="107" t="s">
        <v>714</v>
      </c>
      <c r="C438" s="466"/>
      <c r="D438" s="454"/>
      <c r="E438" s="454"/>
      <c r="F438" s="360"/>
      <c r="G438" s="357"/>
      <c r="H438" s="360"/>
      <c r="I438" s="126">
        <v>3</v>
      </c>
      <c r="J438" s="209" t="s">
        <v>715</v>
      </c>
      <c r="K438" s="537"/>
      <c r="L438" s="537"/>
      <c r="M438" s="537"/>
      <c r="N438" s="537"/>
      <c r="O438" s="537"/>
      <c r="P438" s="674"/>
      <c r="Q438" s="485"/>
      <c r="R438" s="485"/>
      <c r="S438" s="346"/>
      <c r="T438" s="87"/>
      <c r="U438" s="309"/>
      <c r="V438" s="309"/>
      <c r="W438" s="309"/>
      <c r="X438" s="309"/>
      <c r="Y438" s="309"/>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87"/>
      <c r="EM438" s="87"/>
      <c r="EN438" s="87"/>
      <c r="EO438" s="87"/>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c r="FL438" s="87"/>
      <c r="FM438" s="87"/>
      <c r="FN438" s="87"/>
      <c r="FO438" s="87"/>
      <c r="FP438" s="87"/>
      <c r="FQ438" s="87"/>
      <c r="FR438" s="87"/>
      <c r="FS438" s="87"/>
      <c r="FT438" s="87"/>
      <c r="FU438" s="87"/>
      <c r="FV438" s="87"/>
      <c r="FW438" s="87"/>
      <c r="FX438" s="87"/>
      <c r="FY438" s="87"/>
      <c r="FZ438" s="87"/>
      <c r="GA438" s="87"/>
      <c r="GB438" s="87"/>
      <c r="GC438" s="87"/>
      <c r="GD438" s="87"/>
      <c r="GE438" s="87"/>
      <c r="GF438" s="87"/>
      <c r="GG438" s="87"/>
      <c r="GH438" s="87"/>
      <c r="GI438" s="87"/>
      <c r="GJ438" s="87"/>
      <c r="GK438" s="87"/>
      <c r="GL438" s="87"/>
      <c r="GM438" s="87"/>
      <c r="GN438" s="87"/>
      <c r="GO438" s="87"/>
      <c r="GP438" s="87"/>
      <c r="GQ438" s="87"/>
      <c r="GR438" s="87"/>
      <c r="GS438" s="87"/>
      <c r="GT438" s="87"/>
      <c r="GU438" s="87"/>
      <c r="GV438" s="87"/>
      <c r="GW438" s="87"/>
      <c r="GX438" s="87"/>
      <c r="GY438" s="87"/>
      <c r="GZ438" s="87"/>
      <c r="HA438" s="87"/>
      <c r="HB438" s="87"/>
      <c r="HC438" s="87"/>
      <c r="HD438" s="87"/>
      <c r="HE438" s="87"/>
      <c r="HF438" s="87"/>
      <c r="HG438" s="87"/>
      <c r="HH438" s="87"/>
    </row>
    <row r="439" spans="1:216" ht="20.25" customHeight="1">
      <c r="A439" s="447" t="s">
        <v>716</v>
      </c>
      <c r="B439" s="444" t="s">
        <v>714</v>
      </c>
      <c r="C439" s="346"/>
      <c r="D439" s="454"/>
      <c r="E439" s="454"/>
      <c r="F439" s="360"/>
      <c r="G439" s="357"/>
      <c r="H439" s="360"/>
      <c r="I439" s="127">
        <v>4</v>
      </c>
      <c r="J439" s="125" t="s">
        <v>717</v>
      </c>
      <c r="K439" s="537"/>
      <c r="L439" s="537"/>
      <c r="M439" s="537"/>
      <c r="N439" s="537"/>
      <c r="O439" s="537"/>
      <c r="P439" s="674"/>
      <c r="Q439" s="485"/>
      <c r="R439" s="485"/>
      <c r="S439" s="346"/>
      <c r="T439" s="87"/>
      <c r="U439" s="309"/>
      <c r="V439" s="309"/>
      <c r="W439" s="309"/>
      <c r="X439" s="309"/>
      <c r="Y439" s="309"/>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87"/>
      <c r="EM439" s="87"/>
      <c r="EN439" s="87"/>
      <c r="EO439" s="87"/>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c r="FL439" s="87"/>
      <c r="FM439" s="87"/>
      <c r="FN439" s="87"/>
      <c r="FO439" s="87"/>
      <c r="FP439" s="87"/>
      <c r="FQ439" s="87"/>
      <c r="FR439" s="87"/>
      <c r="FS439" s="87"/>
      <c r="FT439" s="87"/>
      <c r="FU439" s="87"/>
      <c r="FV439" s="87"/>
      <c r="FW439" s="87"/>
      <c r="FX439" s="87"/>
      <c r="FY439" s="87"/>
      <c r="FZ439" s="87"/>
      <c r="GA439" s="87"/>
      <c r="GB439" s="87"/>
      <c r="GC439" s="87"/>
      <c r="GD439" s="87"/>
      <c r="GE439" s="87"/>
      <c r="GF439" s="87"/>
      <c r="GG439" s="87"/>
      <c r="GH439" s="87"/>
      <c r="GI439" s="87"/>
      <c r="GJ439" s="87"/>
      <c r="GK439" s="87"/>
      <c r="GL439" s="87"/>
      <c r="GM439" s="87"/>
      <c r="GN439" s="87"/>
      <c r="GO439" s="87"/>
      <c r="GP439" s="87"/>
      <c r="GQ439" s="87"/>
      <c r="GR439" s="87"/>
      <c r="GS439" s="87"/>
      <c r="GT439" s="87"/>
      <c r="GU439" s="87"/>
      <c r="GV439" s="87"/>
      <c r="GW439" s="87"/>
      <c r="GX439" s="87"/>
      <c r="GY439" s="87"/>
      <c r="GZ439" s="87"/>
      <c r="HA439" s="87"/>
      <c r="HB439" s="87"/>
      <c r="HC439" s="87"/>
      <c r="HD439" s="87"/>
      <c r="HE439" s="87"/>
      <c r="HF439" s="87"/>
      <c r="HG439" s="87"/>
      <c r="HH439" s="87"/>
    </row>
    <row r="440" spans="1:216" ht="20.25" customHeight="1">
      <c r="A440" s="452"/>
      <c r="B440" s="445"/>
      <c r="C440" s="347"/>
      <c r="D440" s="455"/>
      <c r="E440" s="455"/>
      <c r="F440" s="361"/>
      <c r="G440" s="358"/>
      <c r="H440" s="361"/>
      <c r="I440" s="114">
        <v>77</v>
      </c>
      <c r="J440" s="88" t="s">
        <v>155</v>
      </c>
      <c r="K440" s="538"/>
      <c r="L440" s="538"/>
      <c r="M440" s="538"/>
      <c r="N440" s="538"/>
      <c r="O440" s="538"/>
      <c r="P440" s="675"/>
      <c r="Q440" s="686"/>
      <c r="R440" s="686"/>
      <c r="S440" s="685"/>
      <c r="T440" s="87"/>
      <c r="U440" s="310"/>
      <c r="V440" s="310"/>
      <c r="W440" s="310"/>
      <c r="X440" s="310"/>
      <c r="Y440" s="310"/>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87"/>
      <c r="EM440" s="87"/>
      <c r="EN440" s="87"/>
      <c r="EO440" s="87"/>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c r="FL440" s="87"/>
      <c r="FM440" s="87"/>
      <c r="FN440" s="87"/>
      <c r="FO440" s="87"/>
      <c r="FP440" s="87"/>
      <c r="FQ440" s="87"/>
      <c r="FR440" s="87"/>
      <c r="FS440" s="87"/>
      <c r="FT440" s="87"/>
      <c r="FU440" s="87"/>
      <c r="FV440" s="87"/>
      <c r="FW440" s="87"/>
      <c r="FX440" s="87"/>
      <c r="FY440" s="87"/>
      <c r="FZ440" s="87"/>
      <c r="GA440" s="87"/>
      <c r="GB440" s="87"/>
      <c r="GC440" s="87"/>
      <c r="GD440" s="87"/>
      <c r="GE440" s="87"/>
      <c r="GF440" s="87"/>
      <c r="GG440" s="87"/>
      <c r="GH440" s="87"/>
      <c r="GI440" s="87"/>
      <c r="GJ440" s="87"/>
      <c r="GK440" s="87"/>
      <c r="GL440" s="87"/>
      <c r="GM440" s="87"/>
      <c r="GN440" s="87"/>
      <c r="GO440" s="87"/>
      <c r="GP440" s="87"/>
      <c r="GQ440" s="87"/>
      <c r="GR440" s="87"/>
      <c r="GS440" s="87"/>
      <c r="GT440" s="87"/>
      <c r="GU440" s="87"/>
      <c r="GV440" s="87"/>
      <c r="GW440" s="87"/>
      <c r="GX440" s="87"/>
      <c r="GY440" s="87"/>
      <c r="GZ440" s="87"/>
      <c r="HA440" s="87"/>
      <c r="HB440" s="87"/>
      <c r="HC440" s="87"/>
      <c r="HD440" s="87"/>
      <c r="HE440" s="87"/>
      <c r="HF440" s="87"/>
      <c r="HG440" s="87"/>
      <c r="HH440" s="87"/>
    </row>
    <row r="441" spans="1:216" ht="20.25" customHeight="1">
      <c r="A441" s="352"/>
      <c r="B441" s="352"/>
      <c r="C441" s="352"/>
      <c r="D441" s="348">
        <v>35</v>
      </c>
      <c r="E441" s="348" t="s">
        <v>718</v>
      </c>
      <c r="F441" s="352" t="s">
        <v>719</v>
      </c>
      <c r="G441" s="467" t="s">
        <v>720</v>
      </c>
      <c r="H441" s="352"/>
      <c r="I441" s="203">
        <v>1</v>
      </c>
      <c r="J441" s="199" t="s">
        <v>721</v>
      </c>
      <c r="K441" s="665" t="s">
        <v>46</v>
      </c>
      <c r="L441" s="665">
        <v>1</v>
      </c>
      <c r="M441" s="665"/>
      <c r="N441" s="665" t="s">
        <v>50</v>
      </c>
      <c r="O441" s="665" t="s">
        <v>51</v>
      </c>
      <c r="P441" s="665" t="s">
        <v>45</v>
      </c>
      <c r="Q441" s="666"/>
      <c r="R441" s="343"/>
      <c r="S441" s="665"/>
      <c r="T441" s="87"/>
      <c r="U441" s="603"/>
      <c r="V441" s="603"/>
      <c r="W441" s="603"/>
      <c r="X441" s="603"/>
      <c r="Y441" s="603"/>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87"/>
      <c r="EM441" s="87"/>
      <c r="EN441" s="87"/>
      <c r="EO441" s="87"/>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c r="FL441" s="87"/>
      <c r="FM441" s="87"/>
      <c r="FN441" s="87"/>
      <c r="FO441" s="87"/>
      <c r="FP441" s="87"/>
      <c r="FQ441" s="87"/>
      <c r="FR441" s="87"/>
      <c r="FS441" s="87"/>
      <c r="FT441" s="87"/>
      <c r="FU441" s="87"/>
      <c r="FV441" s="87"/>
      <c r="FW441" s="87"/>
      <c r="FX441" s="87"/>
      <c r="FY441" s="87"/>
      <c r="FZ441" s="87"/>
      <c r="GA441" s="87"/>
      <c r="GB441" s="87"/>
      <c r="GC441" s="87"/>
      <c r="GD441" s="87"/>
      <c r="GE441" s="87"/>
      <c r="GF441" s="87"/>
      <c r="GG441" s="87"/>
      <c r="GH441" s="87"/>
      <c r="GI441" s="87"/>
      <c r="GJ441" s="87"/>
      <c r="GK441" s="87"/>
      <c r="GL441" s="87"/>
      <c r="GM441" s="87"/>
      <c r="GN441" s="87"/>
      <c r="GO441" s="87"/>
      <c r="GP441" s="87"/>
      <c r="GQ441" s="87"/>
      <c r="GR441" s="87"/>
      <c r="GS441" s="87"/>
      <c r="GT441" s="87"/>
      <c r="GU441" s="87"/>
      <c r="GV441" s="87"/>
      <c r="GW441" s="87"/>
      <c r="GX441" s="87"/>
      <c r="GY441" s="87"/>
      <c r="GZ441" s="87"/>
      <c r="HA441" s="87"/>
      <c r="HB441" s="87"/>
      <c r="HC441" s="87"/>
      <c r="HD441" s="87"/>
      <c r="HE441" s="87"/>
      <c r="HF441" s="87"/>
      <c r="HG441" s="87"/>
      <c r="HH441" s="87"/>
    </row>
    <row r="442" spans="1:216" ht="20.25" customHeight="1">
      <c r="A442" s="352"/>
      <c r="B442" s="352"/>
      <c r="C442" s="352"/>
      <c r="D442" s="348"/>
      <c r="E442" s="348"/>
      <c r="F442" s="352"/>
      <c r="G442" s="467"/>
      <c r="H442" s="352"/>
      <c r="I442" s="203">
        <v>2</v>
      </c>
      <c r="J442" s="199" t="s">
        <v>722</v>
      </c>
      <c r="K442" s="665"/>
      <c r="L442" s="665"/>
      <c r="M442" s="665"/>
      <c r="N442" s="665"/>
      <c r="O442" s="665"/>
      <c r="P442" s="665"/>
      <c r="Q442" s="666"/>
      <c r="R442" s="343"/>
      <c r="S442" s="665"/>
      <c r="T442" s="87"/>
      <c r="U442" s="309"/>
      <c r="V442" s="309"/>
      <c r="W442" s="309"/>
      <c r="X442" s="309"/>
      <c r="Y442" s="309"/>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87"/>
      <c r="EM442" s="87"/>
      <c r="EN442" s="87"/>
      <c r="EO442" s="87"/>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c r="FL442" s="87"/>
      <c r="FM442" s="87"/>
      <c r="FN442" s="87"/>
      <c r="FO442" s="87"/>
      <c r="FP442" s="87"/>
      <c r="FQ442" s="87"/>
      <c r="FR442" s="87"/>
      <c r="FS442" s="87"/>
      <c r="FT442" s="87"/>
      <c r="FU442" s="87"/>
      <c r="FV442" s="87"/>
      <c r="FW442" s="87"/>
      <c r="FX442" s="87"/>
      <c r="FY442" s="87"/>
      <c r="FZ442" s="87"/>
      <c r="GA442" s="87"/>
      <c r="GB442" s="87"/>
      <c r="GC442" s="87"/>
      <c r="GD442" s="87"/>
      <c r="GE442" s="87"/>
      <c r="GF442" s="87"/>
      <c r="GG442" s="87"/>
      <c r="GH442" s="87"/>
      <c r="GI442" s="87"/>
      <c r="GJ442" s="87"/>
      <c r="GK442" s="87"/>
      <c r="GL442" s="87"/>
      <c r="GM442" s="87"/>
      <c r="GN442" s="87"/>
      <c r="GO442" s="87"/>
      <c r="GP442" s="87"/>
      <c r="GQ442" s="87"/>
      <c r="GR442" s="87"/>
      <c r="GS442" s="87"/>
      <c r="GT442" s="87"/>
      <c r="GU442" s="87"/>
      <c r="GV442" s="87"/>
      <c r="GW442" s="87"/>
      <c r="GX442" s="87"/>
      <c r="GY442" s="87"/>
      <c r="GZ442" s="87"/>
      <c r="HA442" s="87"/>
      <c r="HB442" s="87"/>
      <c r="HC442" s="87"/>
      <c r="HD442" s="87"/>
      <c r="HE442" s="87"/>
      <c r="HF442" s="87"/>
      <c r="HG442" s="87"/>
      <c r="HH442" s="87"/>
    </row>
    <row r="443" spans="1:216" ht="20.25" customHeight="1">
      <c r="A443" s="352"/>
      <c r="B443" s="352"/>
      <c r="C443" s="352"/>
      <c r="D443" s="348"/>
      <c r="E443" s="348"/>
      <c r="F443" s="352"/>
      <c r="G443" s="467"/>
      <c r="H443" s="352"/>
      <c r="I443" s="203">
        <v>3</v>
      </c>
      <c r="J443" s="199" t="s">
        <v>723</v>
      </c>
      <c r="K443" s="665"/>
      <c r="L443" s="665"/>
      <c r="M443" s="665"/>
      <c r="N443" s="665"/>
      <c r="O443" s="665"/>
      <c r="P443" s="665"/>
      <c r="Q443" s="666"/>
      <c r="R443" s="343"/>
      <c r="S443" s="665"/>
      <c r="T443" s="87"/>
      <c r="U443" s="309"/>
      <c r="V443" s="309"/>
      <c r="W443" s="309"/>
      <c r="X443" s="309"/>
      <c r="Y443" s="309"/>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87"/>
      <c r="EM443" s="87"/>
      <c r="EN443" s="87"/>
      <c r="EO443" s="87"/>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c r="FL443" s="87"/>
      <c r="FM443" s="87"/>
      <c r="FN443" s="87"/>
      <c r="FO443" s="87"/>
      <c r="FP443" s="87"/>
      <c r="FQ443" s="87"/>
      <c r="FR443" s="87"/>
      <c r="FS443" s="87"/>
      <c r="FT443" s="87"/>
      <c r="FU443" s="87"/>
      <c r="FV443" s="87"/>
      <c r="FW443" s="87"/>
      <c r="FX443" s="87"/>
      <c r="FY443" s="87"/>
      <c r="FZ443" s="87"/>
      <c r="GA443" s="87"/>
      <c r="GB443" s="87"/>
      <c r="GC443" s="87"/>
      <c r="GD443" s="87"/>
      <c r="GE443" s="87"/>
      <c r="GF443" s="87"/>
      <c r="GG443" s="87"/>
      <c r="GH443" s="87"/>
      <c r="GI443" s="87"/>
      <c r="GJ443" s="87"/>
      <c r="GK443" s="87"/>
      <c r="GL443" s="87"/>
      <c r="GM443" s="87"/>
      <c r="GN443" s="87"/>
      <c r="GO443" s="87"/>
      <c r="GP443" s="87"/>
      <c r="GQ443" s="87"/>
      <c r="GR443" s="87"/>
      <c r="GS443" s="87"/>
      <c r="GT443" s="87"/>
      <c r="GU443" s="87"/>
      <c r="GV443" s="87"/>
      <c r="GW443" s="87"/>
      <c r="GX443" s="87"/>
      <c r="GY443" s="87"/>
      <c r="GZ443" s="87"/>
      <c r="HA443" s="87"/>
      <c r="HB443" s="87"/>
      <c r="HC443" s="87"/>
      <c r="HD443" s="87"/>
      <c r="HE443" s="87"/>
      <c r="HF443" s="87"/>
      <c r="HG443" s="87"/>
      <c r="HH443" s="87"/>
    </row>
    <row r="444" spans="1:216" ht="20.25" customHeight="1">
      <c r="A444" s="352"/>
      <c r="B444" s="352"/>
      <c r="C444" s="352"/>
      <c r="D444" s="348"/>
      <c r="E444" s="348"/>
      <c r="F444" s="352"/>
      <c r="G444" s="467"/>
      <c r="H444" s="352"/>
      <c r="I444" s="203">
        <v>4</v>
      </c>
      <c r="J444" s="199" t="s">
        <v>724</v>
      </c>
      <c r="K444" s="665"/>
      <c r="L444" s="665"/>
      <c r="M444" s="665"/>
      <c r="N444" s="665"/>
      <c r="O444" s="665"/>
      <c r="P444" s="665"/>
      <c r="Q444" s="666"/>
      <c r="R444" s="343"/>
      <c r="S444" s="665"/>
      <c r="T444" s="87"/>
      <c r="U444" s="309"/>
      <c r="V444" s="309"/>
      <c r="W444" s="309"/>
      <c r="X444" s="309"/>
      <c r="Y444" s="309"/>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87"/>
      <c r="EM444" s="87"/>
      <c r="EN444" s="87"/>
      <c r="EO444" s="87"/>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c r="FL444" s="87"/>
      <c r="FM444" s="87"/>
      <c r="FN444" s="87"/>
      <c r="FO444" s="87"/>
      <c r="FP444" s="87"/>
      <c r="FQ444" s="87"/>
      <c r="FR444" s="87"/>
      <c r="FS444" s="87"/>
      <c r="FT444" s="87"/>
      <c r="FU444" s="87"/>
      <c r="FV444" s="87"/>
      <c r="FW444" s="87"/>
      <c r="FX444" s="87"/>
      <c r="FY444" s="87"/>
      <c r="FZ444" s="87"/>
      <c r="GA444" s="87"/>
      <c r="GB444" s="87"/>
      <c r="GC444" s="87"/>
      <c r="GD444" s="87"/>
      <c r="GE444" s="87"/>
      <c r="GF444" s="87"/>
      <c r="GG444" s="87"/>
      <c r="GH444" s="87"/>
      <c r="GI444" s="87"/>
      <c r="GJ444" s="87"/>
      <c r="GK444" s="87"/>
      <c r="GL444" s="87"/>
      <c r="GM444" s="87"/>
      <c r="GN444" s="87"/>
      <c r="GO444" s="87"/>
      <c r="GP444" s="87"/>
      <c r="GQ444" s="87"/>
      <c r="GR444" s="87"/>
      <c r="GS444" s="87"/>
      <c r="GT444" s="87"/>
      <c r="GU444" s="87"/>
      <c r="GV444" s="87"/>
      <c r="GW444" s="87"/>
      <c r="GX444" s="87"/>
      <c r="GY444" s="87"/>
      <c r="GZ444" s="87"/>
      <c r="HA444" s="87"/>
      <c r="HB444" s="87"/>
      <c r="HC444" s="87"/>
      <c r="HD444" s="87"/>
      <c r="HE444" s="87"/>
      <c r="HF444" s="87"/>
      <c r="HG444" s="87"/>
      <c r="HH444" s="87"/>
    </row>
    <row r="445" spans="1:216" ht="20.25" customHeight="1">
      <c r="A445" s="352"/>
      <c r="B445" s="352"/>
      <c r="C445" s="352"/>
      <c r="D445" s="348"/>
      <c r="E445" s="348"/>
      <c r="F445" s="352"/>
      <c r="G445" s="467"/>
      <c r="H445" s="352"/>
      <c r="I445" s="203">
        <v>77</v>
      </c>
      <c r="J445" s="199" t="s">
        <v>155</v>
      </c>
      <c r="K445" s="665"/>
      <c r="L445" s="665"/>
      <c r="M445" s="665"/>
      <c r="N445" s="665"/>
      <c r="O445" s="665"/>
      <c r="P445" s="665"/>
      <c r="Q445" s="666"/>
      <c r="R445" s="343"/>
      <c r="S445" s="665"/>
      <c r="T445" s="87"/>
      <c r="U445" s="310"/>
      <c r="V445" s="310"/>
      <c r="W445" s="310"/>
      <c r="X445" s="310"/>
      <c r="Y445" s="310"/>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87"/>
      <c r="EM445" s="87"/>
      <c r="EN445" s="87"/>
      <c r="EO445" s="87"/>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c r="FL445" s="87"/>
      <c r="FM445" s="87"/>
      <c r="FN445" s="87"/>
      <c r="FO445" s="87"/>
      <c r="FP445" s="87"/>
      <c r="FQ445" s="87"/>
      <c r="FR445" s="87"/>
      <c r="FS445" s="87"/>
      <c r="FT445" s="87"/>
      <c r="FU445" s="87"/>
      <c r="FV445" s="87"/>
      <c r="FW445" s="87"/>
      <c r="FX445" s="87"/>
      <c r="FY445" s="87"/>
      <c r="FZ445" s="87"/>
      <c r="GA445" s="87"/>
      <c r="GB445" s="87"/>
      <c r="GC445" s="87"/>
      <c r="GD445" s="87"/>
      <c r="GE445" s="87"/>
      <c r="GF445" s="87"/>
      <c r="GG445" s="87"/>
      <c r="GH445" s="87"/>
      <c r="GI445" s="87"/>
      <c r="GJ445" s="87"/>
      <c r="GK445" s="87"/>
      <c r="GL445" s="87"/>
      <c r="GM445" s="87"/>
      <c r="GN445" s="87"/>
      <c r="GO445" s="87"/>
      <c r="GP445" s="87"/>
      <c r="GQ445" s="87"/>
      <c r="GR445" s="87"/>
      <c r="GS445" s="87"/>
      <c r="GT445" s="87"/>
      <c r="GU445" s="87"/>
      <c r="GV445" s="87"/>
      <c r="GW445" s="87"/>
      <c r="GX445" s="87"/>
      <c r="GY445" s="87"/>
      <c r="GZ445" s="87"/>
      <c r="HA445" s="87"/>
      <c r="HB445" s="87"/>
      <c r="HC445" s="87"/>
      <c r="HD445" s="87"/>
      <c r="HE445" s="87"/>
      <c r="HF445" s="87"/>
      <c r="HG445" s="87"/>
      <c r="HH445" s="87"/>
    </row>
    <row r="446" spans="1:216" ht="20.25" customHeight="1">
      <c r="A446" s="352"/>
      <c r="B446" s="352"/>
      <c r="C446" s="352"/>
      <c r="D446" s="348">
        <v>35</v>
      </c>
      <c r="E446" s="348" t="s">
        <v>725</v>
      </c>
      <c r="F446" s="352" t="s">
        <v>719</v>
      </c>
      <c r="G446" s="671" t="s">
        <v>726</v>
      </c>
      <c r="H446" s="352"/>
      <c r="I446" s="203">
        <v>1</v>
      </c>
      <c r="J446" s="199" t="s">
        <v>727</v>
      </c>
      <c r="K446" s="665" t="s">
        <v>46</v>
      </c>
      <c r="L446" s="665">
        <v>1</v>
      </c>
      <c r="M446" s="665"/>
      <c r="N446" s="665" t="s">
        <v>50</v>
      </c>
      <c r="O446" s="665" t="s">
        <v>51</v>
      </c>
      <c r="P446" s="665" t="s">
        <v>45</v>
      </c>
      <c r="Q446" s="666"/>
      <c r="R446" s="666"/>
      <c r="S446" s="665"/>
      <c r="T446" s="87"/>
      <c r="U446" s="603"/>
      <c r="V446" s="603"/>
      <c r="W446" s="603"/>
      <c r="X446" s="603"/>
      <c r="Y446" s="603"/>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87"/>
      <c r="EM446" s="87"/>
      <c r="EN446" s="87"/>
      <c r="EO446" s="87"/>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c r="FL446" s="87"/>
      <c r="FM446" s="87"/>
      <c r="FN446" s="87"/>
      <c r="FO446" s="87"/>
      <c r="FP446" s="87"/>
      <c r="FQ446" s="87"/>
      <c r="FR446" s="87"/>
      <c r="FS446" s="87"/>
      <c r="FT446" s="87"/>
      <c r="FU446" s="87"/>
      <c r="FV446" s="87"/>
      <c r="FW446" s="87"/>
      <c r="FX446" s="87"/>
      <c r="FY446" s="87"/>
      <c r="FZ446" s="87"/>
      <c r="GA446" s="87"/>
      <c r="GB446" s="87"/>
      <c r="GC446" s="87"/>
      <c r="GD446" s="87"/>
      <c r="GE446" s="87"/>
      <c r="GF446" s="87"/>
      <c r="GG446" s="87"/>
      <c r="GH446" s="87"/>
      <c r="GI446" s="87"/>
      <c r="GJ446" s="87"/>
      <c r="GK446" s="87"/>
      <c r="GL446" s="87"/>
      <c r="GM446" s="87"/>
      <c r="GN446" s="87"/>
      <c r="GO446" s="87"/>
      <c r="GP446" s="87"/>
      <c r="GQ446" s="87"/>
      <c r="GR446" s="87"/>
      <c r="GS446" s="87"/>
      <c r="GT446" s="87"/>
      <c r="GU446" s="87"/>
      <c r="GV446" s="87"/>
      <c r="GW446" s="87"/>
      <c r="GX446" s="87"/>
      <c r="GY446" s="87"/>
      <c r="GZ446" s="87"/>
      <c r="HA446" s="87"/>
      <c r="HB446" s="87"/>
      <c r="HC446" s="87"/>
      <c r="HD446" s="87"/>
      <c r="HE446" s="87"/>
      <c r="HF446" s="87"/>
      <c r="HG446" s="87"/>
      <c r="HH446" s="87"/>
    </row>
    <row r="447" spans="1:216" ht="20.25" customHeight="1">
      <c r="A447" s="352"/>
      <c r="B447" s="352"/>
      <c r="C447" s="352"/>
      <c r="D447" s="348"/>
      <c r="E447" s="348"/>
      <c r="F447" s="352"/>
      <c r="G447" s="672"/>
      <c r="H447" s="352"/>
      <c r="I447" s="203">
        <v>2</v>
      </c>
      <c r="J447" s="199" t="s">
        <v>728</v>
      </c>
      <c r="K447" s="665"/>
      <c r="L447" s="665"/>
      <c r="M447" s="665"/>
      <c r="N447" s="665"/>
      <c r="O447" s="665"/>
      <c r="P447" s="665"/>
      <c r="Q447" s="666"/>
      <c r="R447" s="666"/>
      <c r="S447" s="665"/>
      <c r="T447" s="87"/>
      <c r="U447" s="309"/>
      <c r="V447" s="309"/>
      <c r="W447" s="309"/>
      <c r="X447" s="309"/>
      <c r="Y447" s="309"/>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c r="DT447" s="87"/>
      <c r="DU447" s="87"/>
      <c r="DV447" s="87"/>
      <c r="DW447" s="87"/>
      <c r="DX447" s="87"/>
      <c r="DY447" s="87"/>
      <c r="DZ447" s="87"/>
      <c r="EA447" s="87"/>
      <c r="EB447" s="87"/>
      <c r="EC447" s="87"/>
      <c r="ED447" s="87"/>
      <c r="EE447" s="87"/>
      <c r="EF447" s="87"/>
      <c r="EG447" s="87"/>
      <c r="EH447" s="87"/>
      <c r="EI447" s="87"/>
      <c r="EJ447" s="87"/>
      <c r="EK447" s="87"/>
      <c r="EL447" s="87"/>
      <c r="EM447" s="87"/>
      <c r="EN447" s="87"/>
      <c r="EO447" s="87"/>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c r="FL447" s="87"/>
      <c r="FM447" s="87"/>
      <c r="FN447" s="87"/>
      <c r="FO447" s="87"/>
      <c r="FP447" s="87"/>
      <c r="FQ447" s="87"/>
      <c r="FR447" s="87"/>
      <c r="FS447" s="87"/>
      <c r="FT447" s="87"/>
      <c r="FU447" s="87"/>
      <c r="FV447" s="87"/>
      <c r="FW447" s="87"/>
      <c r="FX447" s="87"/>
      <c r="FY447" s="87"/>
      <c r="FZ447" s="87"/>
      <c r="GA447" s="87"/>
      <c r="GB447" s="87"/>
      <c r="GC447" s="87"/>
      <c r="GD447" s="87"/>
      <c r="GE447" s="87"/>
      <c r="GF447" s="87"/>
      <c r="GG447" s="87"/>
      <c r="GH447" s="87"/>
      <c r="GI447" s="87"/>
      <c r="GJ447" s="87"/>
      <c r="GK447" s="87"/>
      <c r="GL447" s="87"/>
      <c r="GM447" s="87"/>
      <c r="GN447" s="87"/>
      <c r="GO447" s="87"/>
      <c r="GP447" s="87"/>
      <c r="GQ447" s="87"/>
      <c r="GR447" s="87"/>
      <c r="GS447" s="87"/>
      <c r="GT447" s="87"/>
      <c r="GU447" s="87"/>
      <c r="GV447" s="87"/>
      <c r="GW447" s="87"/>
      <c r="GX447" s="87"/>
      <c r="GY447" s="87"/>
      <c r="GZ447" s="87"/>
      <c r="HA447" s="87"/>
      <c r="HB447" s="87"/>
      <c r="HC447" s="87"/>
      <c r="HD447" s="87"/>
      <c r="HE447" s="87"/>
      <c r="HF447" s="87"/>
      <c r="HG447" s="87"/>
      <c r="HH447" s="87"/>
    </row>
    <row r="448" spans="1:216" ht="20.25" customHeight="1">
      <c r="A448" s="352"/>
      <c r="B448" s="352"/>
      <c r="C448" s="352"/>
      <c r="D448" s="348"/>
      <c r="E448" s="348"/>
      <c r="F448" s="352"/>
      <c r="G448" s="672"/>
      <c r="H448" s="352"/>
      <c r="I448" s="203">
        <v>3</v>
      </c>
      <c r="J448" s="212" t="s">
        <v>729</v>
      </c>
      <c r="K448" s="665"/>
      <c r="L448" s="665"/>
      <c r="M448" s="665"/>
      <c r="N448" s="665"/>
      <c r="O448" s="665"/>
      <c r="P448" s="665"/>
      <c r="Q448" s="666"/>
      <c r="R448" s="666"/>
      <c r="S448" s="665"/>
      <c r="T448" s="87"/>
      <c r="U448" s="309"/>
      <c r="V448" s="309"/>
      <c r="W448" s="309"/>
      <c r="X448" s="309"/>
      <c r="Y448" s="309"/>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87"/>
      <c r="EM448" s="87"/>
      <c r="EN448" s="87"/>
      <c r="EO448" s="87"/>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c r="FL448" s="87"/>
      <c r="FM448" s="87"/>
      <c r="FN448" s="87"/>
      <c r="FO448" s="87"/>
      <c r="FP448" s="87"/>
      <c r="FQ448" s="87"/>
      <c r="FR448" s="87"/>
      <c r="FS448" s="87"/>
      <c r="FT448" s="87"/>
      <c r="FU448" s="87"/>
      <c r="FV448" s="87"/>
      <c r="FW448" s="87"/>
      <c r="FX448" s="87"/>
      <c r="FY448" s="87"/>
      <c r="FZ448" s="87"/>
      <c r="GA448" s="87"/>
      <c r="GB448" s="87"/>
      <c r="GC448" s="87"/>
      <c r="GD448" s="87"/>
      <c r="GE448" s="87"/>
      <c r="GF448" s="87"/>
      <c r="GG448" s="87"/>
      <c r="GH448" s="87"/>
      <c r="GI448" s="87"/>
      <c r="GJ448" s="87"/>
      <c r="GK448" s="87"/>
      <c r="GL448" s="87"/>
      <c r="GM448" s="87"/>
      <c r="GN448" s="87"/>
      <c r="GO448" s="87"/>
      <c r="GP448" s="87"/>
      <c r="GQ448" s="87"/>
      <c r="GR448" s="87"/>
      <c r="GS448" s="87"/>
      <c r="GT448" s="87"/>
      <c r="GU448" s="87"/>
      <c r="GV448" s="87"/>
      <c r="GW448" s="87"/>
      <c r="GX448" s="87"/>
      <c r="GY448" s="87"/>
      <c r="GZ448" s="87"/>
      <c r="HA448" s="87"/>
      <c r="HB448" s="87"/>
      <c r="HC448" s="87"/>
      <c r="HD448" s="87"/>
      <c r="HE448" s="87"/>
      <c r="HF448" s="87"/>
      <c r="HG448" s="87"/>
      <c r="HH448" s="87"/>
    </row>
    <row r="449" spans="1:216" ht="20.25" customHeight="1">
      <c r="A449" s="352"/>
      <c r="B449" s="352"/>
      <c r="C449" s="352"/>
      <c r="D449" s="348"/>
      <c r="E449" s="348"/>
      <c r="F449" s="352"/>
      <c r="G449" s="672"/>
      <c r="H449" s="352"/>
      <c r="I449" s="203">
        <v>4</v>
      </c>
      <c r="J449" s="199" t="s">
        <v>730</v>
      </c>
      <c r="K449" s="665"/>
      <c r="L449" s="665"/>
      <c r="M449" s="665"/>
      <c r="N449" s="665"/>
      <c r="O449" s="665"/>
      <c r="P449" s="665"/>
      <c r="Q449" s="666"/>
      <c r="R449" s="666"/>
      <c r="S449" s="665"/>
      <c r="T449" s="87"/>
      <c r="U449" s="309"/>
      <c r="V449" s="309"/>
      <c r="W449" s="309"/>
      <c r="X449" s="309"/>
      <c r="Y449" s="309"/>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87"/>
      <c r="EJ449" s="87"/>
      <c r="EK449" s="87"/>
      <c r="EL449" s="87"/>
      <c r="EM449" s="87"/>
      <c r="EN449" s="87"/>
      <c r="EO449" s="87"/>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c r="FL449" s="87"/>
      <c r="FM449" s="87"/>
      <c r="FN449" s="87"/>
      <c r="FO449" s="87"/>
      <c r="FP449" s="87"/>
      <c r="FQ449" s="87"/>
      <c r="FR449" s="87"/>
      <c r="FS449" s="87"/>
      <c r="FT449" s="87"/>
      <c r="FU449" s="87"/>
      <c r="FV449" s="87"/>
      <c r="FW449" s="87"/>
      <c r="FX449" s="87"/>
      <c r="FY449" s="87"/>
      <c r="FZ449" s="87"/>
      <c r="GA449" s="87"/>
      <c r="GB449" s="87"/>
      <c r="GC449" s="87"/>
      <c r="GD449" s="87"/>
      <c r="GE449" s="87"/>
      <c r="GF449" s="87"/>
      <c r="GG449" s="87"/>
      <c r="GH449" s="87"/>
      <c r="GI449" s="87"/>
      <c r="GJ449" s="87"/>
      <c r="GK449" s="87"/>
      <c r="GL449" s="87"/>
      <c r="GM449" s="87"/>
      <c r="GN449" s="87"/>
      <c r="GO449" s="87"/>
      <c r="GP449" s="87"/>
      <c r="GQ449" s="87"/>
      <c r="GR449" s="87"/>
      <c r="GS449" s="87"/>
      <c r="GT449" s="87"/>
      <c r="GU449" s="87"/>
      <c r="GV449" s="87"/>
      <c r="GW449" s="87"/>
      <c r="GX449" s="87"/>
      <c r="GY449" s="87"/>
      <c r="GZ449" s="87"/>
      <c r="HA449" s="87"/>
      <c r="HB449" s="87"/>
      <c r="HC449" s="87"/>
      <c r="HD449" s="87"/>
      <c r="HE449" s="87"/>
      <c r="HF449" s="87"/>
      <c r="HG449" s="87"/>
      <c r="HH449" s="87"/>
    </row>
    <row r="450" spans="1:216" ht="20.25" customHeight="1">
      <c r="A450" s="352"/>
      <c r="B450" s="352"/>
      <c r="C450" s="352"/>
      <c r="D450" s="348"/>
      <c r="E450" s="348"/>
      <c r="F450" s="352"/>
      <c r="G450" s="672"/>
      <c r="H450" s="352"/>
      <c r="I450" s="203">
        <v>77</v>
      </c>
      <c r="J450" s="199" t="s">
        <v>155</v>
      </c>
      <c r="K450" s="665"/>
      <c r="L450" s="665"/>
      <c r="M450" s="665"/>
      <c r="N450" s="665"/>
      <c r="O450" s="665"/>
      <c r="P450" s="665"/>
      <c r="Q450" s="666"/>
      <c r="R450" s="666"/>
      <c r="S450" s="665"/>
      <c r="T450" s="87"/>
      <c r="U450" s="310"/>
      <c r="V450" s="310"/>
      <c r="W450" s="310"/>
      <c r="X450" s="310"/>
      <c r="Y450" s="310"/>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87"/>
      <c r="EM450" s="87"/>
      <c r="EN450" s="87"/>
      <c r="EO450" s="87"/>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c r="FL450" s="87"/>
      <c r="FM450" s="87"/>
      <c r="FN450" s="87"/>
      <c r="FO450" s="87"/>
      <c r="FP450" s="87"/>
      <c r="FQ450" s="87"/>
      <c r="FR450" s="87"/>
      <c r="FS450" s="87"/>
      <c r="FT450" s="87"/>
      <c r="FU450" s="87"/>
      <c r="FV450" s="87"/>
      <c r="FW450" s="87"/>
      <c r="FX450" s="87"/>
      <c r="FY450" s="87"/>
      <c r="FZ450" s="87"/>
      <c r="GA450" s="87"/>
      <c r="GB450" s="87"/>
      <c r="GC450" s="87"/>
      <c r="GD450" s="87"/>
      <c r="GE450" s="87"/>
      <c r="GF450" s="87"/>
      <c r="GG450" s="87"/>
      <c r="GH450" s="87"/>
      <c r="GI450" s="87"/>
      <c r="GJ450" s="87"/>
      <c r="GK450" s="87"/>
      <c r="GL450" s="87"/>
      <c r="GM450" s="87"/>
      <c r="GN450" s="87"/>
      <c r="GO450" s="87"/>
      <c r="GP450" s="87"/>
      <c r="GQ450" s="87"/>
      <c r="GR450" s="87"/>
      <c r="GS450" s="87"/>
      <c r="GT450" s="87"/>
      <c r="GU450" s="87"/>
      <c r="GV450" s="87"/>
      <c r="GW450" s="87"/>
      <c r="GX450" s="87"/>
      <c r="GY450" s="87"/>
      <c r="GZ450" s="87"/>
      <c r="HA450" s="87"/>
      <c r="HB450" s="87"/>
      <c r="HC450" s="87"/>
      <c r="HD450" s="87"/>
      <c r="HE450" s="87"/>
      <c r="HF450" s="87"/>
      <c r="HG450" s="87"/>
      <c r="HH450" s="87"/>
    </row>
    <row r="451" spans="1:216" ht="30" customHeight="1">
      <c r="A451" s="254" t="s">
        <v>713</v>
      </c>
      <c r="B451" s="254" t="s">
        <v>714</v>
      </c>
      <c r="C451" s="254" t="s">
        <v>129</v>
      </c>
      <c r="D451" s="353">
        <v>35</v>
      </c>
      <c r="E451" s="353" t="s">
        <v>731</v>
      </c>
      <c r="F451" s="254" t="s">
        <v>732</v>
      </c>
      <c r="G451" s="254" t="s">
        <v>733</v>
      </c>
      <c r="H451" s="270" t="s">
        <v>209</v>
      </c>
      <c r="I451" s="100">
        <v>1</v>
      </c>
      <c r="J451" s="15" t="s">
        <v>734</v>
      </c>
      <c r="K451" s="365" t="s">
        <v>46</v>
      </c>
      <c r="L451" s="365">
        <v>1</v>
      </c>
      <c r="M451" s="365" t="s">
        <v>40</v>
      </c>
      <c r="N451" s="370" t="s">
        <v>50</v>
      </c>
      <c r="O451" s="373" t="s">
        <v>51</v>
      </c>
      <c r="P451" s="373" t="s">
        <v>45</v>
      </c>
      <c r="Q451" s="379" t="s">
        <v>40</v>
      </c>
      <c r="R451" s="379" t="s">
        <v>40</v>
      </c>
      <c r="S451" s="382" t="s">
        <v>40</v>
      </c>
      <c r="T451" s="382" t="s">
        <v>40</v>
      </c>
      <c r="U451" s="586"/>
      <c r="V451" s="586"/>
      <c r="W451" s="586"/>
      <c r="X451" s="586"/>
      <c r="Y451" s="586"/>
    </row>
    <row r="452" spans="1:216" ht="30" customHeight="1">
      <c r="A452" s="254"/>
      <c r="B452" s="254"/>
      <c r="C452" s="254"/>
      <c r="D452" s="353"/>
      <c r="E452" s="353"/>
      <c r="F452" s="254"/>
      <c r="G452" s="254"/>
      <c r="H452" s="270"/>
      <c r="I452" s="100">
        <v>2</v>
      </c>
      <c r="J452" s="15" t="s">
        <v>735</v>
      </c>
      <c r="K452" s="365"/>
      <c r="L452" s="365"/>
      <c r="M452" s="365"/>
      <c r="N452" s="371"/>
      <c r="O452" s="374"/>
      <c r="P452" s="374"/>
      <c r="Q452" s="380"/>
      <c r="R452" s="380"/>
      <c r="S452" s="383"/>
      <c r="T452" s="383"/>
      <c r="U452" s="586"/>
      <c r="V452" s="586"/>
      <c r="W452" s="586"/>
      <c r="X452" s="586"/>
      <c r="Y452" s="586"/>
    </row>
    <row r="453" spans="1:216" ht="30" customHeight="1">
      <c r="A453" s="254"/>
      <c r="B453" s="254"/>
      <c r="C453" s="254"/>
      <c r="D453" s="353"/>
      <c r="E453" s="353"/>
      <c r="F453" s="254"/>
      <c r="G453" s="254"/>
      <c r="H453" s="270"/>
      <c r="I453" s="100">
        <v>3</v>
      </c>
      <c r="J453" s="15" t="s">
        <v>736</v>
      </c>
      <c r="K453" s="365"/>
      <c r="L453" s="365"/>
      <c r="M453" s="365"/>
      <c r="N453" s="371"/>
      <c r="O453" s="374"/>
      <c r="P453" s="374"/>
      <c r="Q453" s="380"/>
      <c r="R453" s="380"/>
      <c r="S453" s="383"/>
      <c r="T453" s="383"/>
      <c r="U453" s="586"/>
      <c r="V453" s="586"/>
      <c r="W453" s="586"/>
      <c r="X453" s="586"/>
      <c r="Y453" s="586"/>
    </row>
    <row r="454" spans="1:216" ht="30" customHeight="1">
      <c r="A454" s="254" t="s">
        <v>716</v>
      </c>
      <c r="B454" s="254" t="s">
        <v>714</v>
      </c>
      <c r="C454" s="254"/>
      <c r="D454" s="353"/>
      <c r="E454" s="353"/>
      <c r="F454" s="254"/>
      <c r="G454" s="254"/>
      <c r="H454" s="270"/>
      <c r="I454" s="100">
        <v>4</v>
      </c>
      <c r="J454" s="15" t="s">
        <v>737</v>
      </c>
      <c r="K454" s="365"/>
      <c r="L454" s="365"/>
      <c r="M454" s="365"/>
      <c r="N454" s="371"/>
      <c r="O454" s="374"/>
      <c r="P454" s="374"/>
      <c r="Q454" s="380"/>
      <c r="R454" s="380"/>
      <c r="S454" s="383"/>
      <c r="T454" s="383"/>
      <c r="U454" s="586"/>
      <c r="V454" s="586"/>
      <c r="W454" s="586"/>
      <c r="X454" s="586"/>
      <c r="Y454" s="586"/>
    </row>
    <row r="455" spans="1:216" ht="15.5">
      <c r="A455" s="254"/>
      <c r="B455" s="254"/>
      <c r="C455" s="254"/>
      <c r="D455" s="353"/>
      <c r="E455" s="353"/>
      <c r="F455" s="254"/>
      <c r="G455" s="254"/>
      <c r="H455" s="270"/>
      <c r="I455" s="100">
        <v>77</v>
      </c>
      <c r="J455" s="15" t="s">
        <v>155</v>
      </c>
      <c r="K455" s="365"/>
      <c r="L455" s="365"/>
      <c r="M455" s="365"/>
      <c r="N455" s="372"/>
      <c r="O455" s="375"/>
      <c r="P455" s="375"/>
      <c r="Q455" s="381"/>
      <c r="R455" s="381"/>
      <c r="S455" s="384"/>
      <c r="T455" s="384"/>
      <c r="U455" s="561"/>
      <c r="V455" s="586"/>
      <c r="W455" s="586"/>
      <c r="X455" s="586"/>
      <c r="Y455" s="561"/>
    </row>
    <row r="456" spans="1:216" ht="18" customHeight="1">
      <c r="A456" s="248"/>
      <c r="B456" s="248"/>
      <c r="C456" s="15"/>
      <c r="D456" s="349">
        <v>36</v>
      </c>
      <c r="E456" s="349" t="s">
        <v>738</v>
      </c>
      <c r="F456" s="626" t="s">
        <v>719</v>
      </c>
      <c r="G456" s="428" t="s">
        <v>739</v>
      </c>
      <c r="H456" s="248"/>
      <c r="I456" s="100">
        <v>1</v>
      </c>
      <c r="J456" s="15" t="s">
        <v>740</v>
      </c>
      <c r="K456" s="248" t="s">
        <v>46</v>
      </c>
      <c r="L456" s="248">
        <v>1</v>
      </c>
      <c r="M456" s="248"/>
      <c r="N456" s="248" t="s">
        <v>50</v>
      </c>
      <c r="O456" s="248" t="s">
        <v>51</v>
      </c>
      <c r="P456" s="248" t="s">
        <v>45</v>
      </c>
      <c r="Q456" s="544"/>
      <c r="R456" s="544"/>
      <c r="S456" s="248"/>
      <c r="T456" s="156"/>
      <c r="U456" s="670"/>
      <c r="V456" s="667"/>
      <c r="W456" s="667"/>
      <c r="X456" s="667"/>
      <c r="Y456" s="670"/>
    </row>
    <row r="457" spans="1:216" ht="15.5">
      <c r="A457" s="249"/>
      <c r="B457" s="249"/>
      <c r="C457" s="15"/>
      <c r="D457" s="350"/>
      <c r="E457" s="350"/>
      <c r="F457" s="627"/>
      <c r="G457" s="429"/>
      <c r="H457" s="249"/>
      <c r="I457" s="100">
        <v>2</v>
      </c>
      <c r="J457" s="15" t="s">
        <v>741</v>
      </c>
      <c r="K457" s="249"/>
      <c r="L457" s="249"/>
      <c r="M457" s="249"/>
      <c r="N457" s="249"/>
      <c r="O457" s="249"/>
      <c r="P457" s="249"/>
      <c r="Q457" s="545"/>
      <c r="R457" s="545"/>
      <c r="S457" s="249"/>
      <c r="T457" s="156"/>
      <c r="U457" s="670"/>
      <c r="V457" s="668"/>
      <c r="W457" s="668"/>
      <c r="X457" s="668"/>
      <c r="Y457" s="670"/>
    </row>
    <row r="458" spans="1:216" ht="15.5">
      <c r="A458" s="249"/>
      <c r="B458" s="249"/>
      <c r="C458" s="15"/>
      <c r="D458" s="350"/>
      <c r="E458" s="350"/>
      <c r="F458" s="627"/>
      <c r="G458" s="429"/>
      <c r="H458" s="249"/>
      <c r="I458" s="100">
        <v>3</v>
      </c>
      <c r="J458" s="15" t="s">
        <v>742</v>
      </c>
      <c r="K458" s="249"/>
      <c r="L458" s="249"/>
      <c r="M458" s="249"/>
      <c r="N458" s="249"/>
      <c r="O458" s="249"/>
      <c r="P458" s="249"/>
      <c r="Q458" s="545"/>
      <c r="R458" s="545"/>
      <c r="S458" s="249"/>
      <c r="T458" s="156"/>
      <c r="U458" s="670"/>
      <c r="V458" s="668"/>
      <c r="W458" s="668"/>
      <c r="X458" s="668"/>
      <c r="Y458" s="670"/>
    </row>
    <row r="459" spans="1:216" ht="15.5">
      <c r="A459" s="249"/>
      <c r="B459" s="249"/>
      <c r="C459" s="15"/>
      <c r="D459" s="350"/>
      <c r="E459" s="350"/>
      <c r="F459" s="627"/>
      <c r="G459" s="429"/>
      <c r="H459" s="249"/>
      <c r="I459" s="100">
        <v>4</v>
      </c>
      <c r="J459" s="15" t="s">
        <v>743</v>
      </c>
      <c r="K459" s="249"/>
      <c r="L459" s="249"/>
      <c r="M459" s="249"/>
      <c r="N459" s="249"/>
      <c r="O459" s="249"/>
      <c r="P459" s="249"/>
      <c r="Q459" s="545"/>
      <c r="R459" s="545"/>
      <c r="S459" s="249"/>
      <c r="T459" s="156"/>
      <c r="U459" s="670"/>
      <c r="V459" s="668"/>
      <c r="W459" s="668"/>
      <c r="X459" s="668"/>
      <c r="Y459" s="670"/>
    </row>
    <row r="460" spans="1:216" ht="15.5">
      <c r="A460" s="250"/>
      <c r="B460" s="250"/>
      <c r="C460" s="15"/>
      <c r="D460" s="351"/>
      <c r="E460" s="351"/>
      <c r="F460" s="628"/>
      <c r="G460" s="430"/>
      <c r="H460" s="250"/>
      <c r="I460" s="100">
        <v>77</v>
      </c>
      <c r="J460" s="15" t="s">
        <v>155</v>
      </c>
      <c r="K460" s="250"/>
      <c r="L460" s="250"/>
      <c r="M460" s="250"/>
      <c r="N460" s="250"/>
      <c r="O460" s="250"/>
      <c r="P460" s="250"/>
      <c r="Q460" s="546"/>
      <c r="R460" s="546"/>
      <c r="S460" s="250"/>
      <c r="T460" s="156"/>
      <c r="U460" s="670"/>
      <c r="V460" s="669"/>
      <c r="W460" s="669"/>
      <c r="X460" s="669"/>
      <c r="Y460" s="670"/>
    </row>
    <row r="461" spans="1:216" ht="18" customHeight="1">
      <c r="A461" s="378" t="s">
        <v>744</v>
      </c>
      <c r="B461" s="378" t="s">
        <v>745</v>
      </c>
      <c r="C461" s="223" t="s">
        <v>129</v>
      </c>
      <c r="D461" s="224">
        <v>36</v>
      </c>
      <c r="E461" s="224" t="s">
        <v>746</v>
      </c>
      <c r="F461" s="269" t="s">
        <v>747</v>
      </c>
      <c r="G461" s="354" t="s">
        <v>748</v>
      </c>
      <c r="H461" s="270"/>
      <c r="I461" s="100">
        <v>1</v>
      </c>
      <c r="J461" s="15" t="s">
        <v>135</v>
      </c>
      <c r="K461" s="247" t="s">
        <v>46</v>
      </c>
      <c r="L461" s="247">
        <v>1</v>
      </c>
      <c r="M461" s="247"/>
      <c r="N461" s="256" t="s">
        <v>50</v>
      </c>
      <c r="O461" s="225" t="s">
        <v>51</v>
      </c>
      <c r="P461" s="225" t="s">
        <v>45</v>
      </c>
      <c r="Q461" s="225"/>
      <c r="R461" s="225"/>
      <c r="S461" s="225"/>
      <c r="T461" s="225"/>
      <c r="U461" s="225"/>
      <c r="V461" s="225"/>
      <c r="W461" s="225"/>
      <c r="X461" s="225"/>
      <c r="Y461" s="225"/>
    </row>
    <row r="462" spans="1:216" ht="20.25" customHeight="1">
      <c r="A462" s="378"/>
      <c r="B462" s="378"/>
      <c r="C462" s="223"/>
      <c r="D462" s="224"/>
      <c r="E462" s="224"/>
      <c r="F462" s="269"/>
      <c r="G462" s="354"/>
      <c r="H462" s="270"/>
      <c r="I462" s="100">
        <v>2</v>
      </c>
      <c r="J462" s="15" t="s">
        <v>749</v>
      </c>
      <c r="K462" s="247"/>
      <c r="L462" s="247"/>
      <c r="M462" s="247"/>
      <c r="N462" s="257"/>
      <c r="O462" s="226"/>
      <c r="P462" s="226"/>
      <c r="Q462" s="226"/>
      <c r="R462" s="226"/>
      <c r="S462" s="226"/>
      <c r="T462" s="226"/>
      <c r="U462" s="226"/>
      <c r="V462" s="226"/>
      <c r="W462" s="226"/>
      <c r="X462" s="226"/>
      <c r="Y462" s="226"/>
    </row>
    <row r="463" spans="1:216" ht="20.25" customHeight="1">
      <c r="A463" s="378"/>
      <c r="B463" s="378"/>
      <c r="C463" s="223"/>
      <c r="D463" s="224"/>
      <c r="E463" s="224"/>
      <c r="F463" s="269"/>
      <c r="G463" s="354"/>
      <c r="H463" s="270"/>
      <c r="I463" s="100">
        <v>3</v>
      </c>
      <c r="J463" s="15" t="s">
        <v>750</v>
      </c>
      <c r="K463" s="247"/>
      <c r="L463" s="247"/>
      <c r="M463" s="247"/>
      <c r="N463" s="257"/>
      <c r="O463" s="226"/>
      <c r="P463" s="226"/>
      <c r="Q463" s="226"/>
      <c r="R463" s="226"/>
      <c r="S463" s="226"/>
      <c r="T463" s="226"/>
      <c r="U463" s="226"/>
      <c r="V463" s="226"/>
      <c r="W463" s="226"/>
      <c r="X463" s="226"/>
      <c r="Y463" s="226"/>
    </row>
    <row r="464" spans="1:216" ht="20.25" customHeight="1">
      <c r="A464" s="378"/>
      <c r="B464" s="378"/>
      <c r="C464" s="223"/>
      <c r="D464" s="224"/>
      <c r="E464" s="224"/>
      <c r="F464" s="269"/>
      <c r="G464" s="354"/>
      <c r="H464" s="270"/>
      <c r="I464" s="100">
        <v>4</v>
      </c>
      <c r="J464" s="15" t="s">
        <v>751</v>
      </c>
      <c r="K464" s="247"/>
      <c r="L464" s="247"/>
      <c r="M464" s="247"/>
      <c r="N464" s="257"/>
      <c r="O464" s="226"/>
      <c r="P464" s="226"/>
      <c r="Q464" s="226"/>
      <c r="R464" s="226"/>
      <c r="S464" s="226"/>
      <c r="T464" s="226"/>
      <c r="U464" s="226"/>
      <c r="V464" s="226"/>
      <c r="W464" s="226"/>
      <c r="X464" s="226"/>
      <c r="Y464" s="226"/>
    </row>
    <row r="465" spans="1:25" ht="20.25" customHeight="1">
      <c r="A465" s="378"/>
      <c r="B465" s="378"/>
      <c r="C465" s="223"/>
      <c r="D465" s="224"/>
      <c r="E465" s="224"/>
      <c r="F465" s="269"/>
      <c r="G465" s="354"/>
      <c r="H465" s="270"/>
      <c r="I465" s="100">
        <v>77</v>
      </c>
      <c r="J465" s="15" t="s">
        <v>155</v>
      </c>
      <c r="K465" s="247"/>
      <c r="L465" s="247"/>
      <c r="M465" s="247"/>
      <c r="N465" s="257"/>
      <c r="O465" s="226"/>
      <c r="P465" s="226"/>
      <c r="Q465" s="226"/>
      <c r="R465" s="226"/>
      <c r="S465" s="226"/>
      <c r="T465" s="226"/>
      <c r="U465" s="226"/>
      <c r="V465" s="226"/>
      <c r="W465" s="226"/>
      <c r="X465" s="226"/>
      <c r="Y465" s="226"/>
    </row>
    <row r="466" spans="1:25" ht="18" customHeight="1">
      <c r="A466" s="223" t="s">
        <v>752</v>
      </c>
      <c r="B466" s="223" t="s">
        <v>753</v>
      </c>
      <c r="C466" s="223" t="s">
        <v>129</v>
      </c>
      <c r="D466" s="224">
        <v>36</v>
      </c>
      <c r="E466" s="224" t="s">
        <v>754</v>
      </c>
      <c r="F466" s="409" t="s">
        <v>477</v>
      </c>
      <c r="G466" s="254" t="s">
        <v>755</v>
      </c>
      <c r="H466" s="270" t="s">
        <v>150</v>
      </c>
      <c r="I466" s="100">
        <v>1</v>
      </c>
      <c r="J466" s="15" t="s">
        <v>151</v>
      </c>
      <c r="K466" s="247" t="s">
        <v>46</v>
      </c>
      <c r="L466" s="247">
        <v>1</v>
      </c>
      <c r="M466" s="247"/>
      <c r="N466" s="256" t="s">
        <v>50</v>
      </c>
      <c r="O466" s="256" t="s">
        <v>51</v>
      </c>
      <c r="P466" s="256" t="s">
        <v>45</v>
      </c>
      <c r="Q466" s="256"/>
      <c r="R466" s="256"/>
      <c r="S466" s="256"/>
      <c r="T466" s="256"/>
      <c r="U466" s="328"/>
      <c r="V466" s="256"/>
      <c r="W466" s="256"/>
      <c r="X466" s="256"/>
      <c r="Y466" s="256"/>
    </row>
    <row r="467" spans="1:25" ht="18" customHeight="1">
      <c r="A467" s="223"/>
      <c r="B467" s="223"/>
      <c r="C467" s="223"/>
      <c r="D467" s="224"/>
      <c r="E467" s="224"/>
      <c r="F467" s="409"/>
      <c r="G467" s="254"/>
      <c r="H467" s="270"/>
      <c r="I467" s="100">
        <v>2</v>
      </c>
      <c r="J467" s="15" t="s">
        <v>152</v>
      </c>
      <c r="K467" s="247"/>
      <c r="L467" s="247"/>
      <c r="M467" s="247"/>
      <c r="N467" s="257"/>
      <c r="O467" s="257"/>
      <c r="P467" s="257"/>
      <c r="Q467" s="257"/>
      <c r="R467" s="257"/>
      <c r="S467" s="257"/>
      <c r="T467" s="257"/>
      <c r="U467" s="329"/>
      <c r="V467" s="257"/>
      <c r="W467" s="257"/>
      <c r="X467" s="257"/>
      <c r="Y467" s="257"/>
    </row>
    <row r="468" spans="1:25" ht="18" customHeight="1">
      <c r="A468" s="223"/>
      <c r="B468" s="223"/>
      <c r="C468" s="223"/>
      <c r="D468" s="224"/>
      <c r="E468" s="224"/>
      <c r="F468" s="409"/>
      <c r="G468" s="254"/>
      <c r="H468" s="270"/>
      <c r="I468" s="100">
        <v>3</v>
      </c>
      <c r="J468" s="15" t="s">
        <v>153</v>
      </c>
      <c r="K468" s="247"/>
      <c r="L468" s="247"/>
      <c r="M468" s="247"/>
      <c r="N468" s="257"/>
      <c r="O468" s="257"/>
      <c r="P468" s="257"/>
      <c r="Q468" s="257"/>
      <c r="R468" s="257"/>
      <c r="S468" s="257"/>
      <c r="T468" s="257"/>
      <c r="U468" s="329"/>
      <c r="V468" s="257"/>
      <c r="W468" s="257"/>
      <c r="X468" s="257"/>
      <c r="Y468" s="257"/>
    </row>
    <row r="469" spans="1:25" ht="18" customHeight="1">
      <c r="A469" s="223"/>
      <c r="B469" s="223"/>
      <c r="C469" s="223"/>
      <c r="D469" s="224"/>
      <c r="E469" s="224"/>
      <c r="F469" s="409"/>
      <c r="G469" s="254"/>
      <c r="H469" s="270"/>
      <c r="I469" s="100">
        <v>4</v>
      </c>
      <c r="J469" s="15" t="s">
        <v>154</v>
      </c>
      <c r="K469" s="247"/>
      <c r="L469" s="247"/>
      <c r="M469" s="247"/>
      <c r="N469" s="257"/>
      <c r="O469" s="257"/>
      <c r="P469" s="257"/>
      <c r="Q469" s="257"/>
      <c r="R469" s="257"/>
      <c r="S469" s="257"/>
      <c r="T469" s="257"/>
      <c r="U469" s="329"/>
      <c r="V469" s="257"/>
      <c r="W469" s="257"/>
      <c r="X469" s="257"/>
      <c r="Y469" s="257"/>
    </row>
    <row r="470" spans="1:25" ht="18" customHeight="1">
      <c r="A470" s="223"/>
      <c r="B470" s="223"/>
      <c r="C470" s="223"/>
      <c r="D470" s="224"/>
      <c r="E470" s="224"/>
      <c r="F470" s="409"/>
      <c r="G470" s="254"/>
      <c r="H470" s="270"/>
      <c r="I470" s="100">
        <v>77</v>
      </c>
      <c r="J470" s="15" t="s">
        <v>155</v>
      </c>
      <c r="K470" s="247"/>
      <c r="L470" s="247"/>
      <c r="M470" s="247"/>
      <c r="N470" s="301"/>
      <c r="O470" s="301"/>
      <c r="P470" s="301"/>
      <c r="Q470" s="301"/>
      <c r="R470" s="301"/>
      <c r="S470" s="301"/>
      <c r="T470" s="301"/>
      <c r="U470" s="330"/>
      <c r="V470" s="301"/>
      <c r="W470" s="301"/>
      <c r="X470" s="301"/>
      <c r="Y470" s="301"/>
    </row>
    <row r="471" spans="1:25" ht="84">
      <c r="D471" s="169">
        <v>37</v>
      </c>
      <c r="E471" s="170" t="s">
        <v>756</v>
      </c>
      <c r="G471" s="44" t="s">
        <v>757</v>
      </c>
      <c r="I471" s="107"/>
      <c r="J471" s="51"/>
      <c r="K471" s="101" t="s">
        <v>46</v>
      </c>
      <c r="L471" s="101">
        <v>1</v>
      </c>
      <c r="N471" s="180" t="s">
        <v>44</v>
      </c>
      <c r="Q471" s="210"/>
      <c r="R471" s="210"/>
      <c r="T471" s="17" t="s">
        <v>8</v>
      </c>
    </row>
    <row r="472" spans="1:25" ht="18.75" customHeight="1">
      <c r="A472" s="223" t="s">
        <v>758</v>
      </c>
      <c r="B472" s="223" t="s">
        <v>759</v>
      </c>
      <c r="C472" s="223" t="s">
        <v>225</v>
      </c>
      <c r="D472" s="224">
        <v>37</v>
      </c>
      <c r="E472" s="224" t="s">
        <v>760</v>
      </c>
      <c r="F472" s="269" t="s">
        <v>148</v>
      </c>
      <c r="G472" s="254" t="s">
        <v>761</v>
      </c>
      <c r="H472" s="270" t="s">
        <v>762</v>
      </c>
      <c r="I472" s="100">
        <v>1</v>
      </c>
      <c r="J472" s="15" t="s">
        <v>151</v>
      </c>
      <c r="K472" s="247" t="s">
        <v>46</v>
      </c>
      <c r="L472" s="247">
        <v>1</v>
      </c>
      <c r="M472" s="247"/>
      <c r="N472" s="256" t="s">
        <v>50</v>
      </c>
      <c r="O472" s="225" t="s">
        <v>51</v>
      </c>
      <c r="P472" s="225" t="s">
        <v>45</v>
      </c>
      <c r="Q472" s="362"/>
      <c r="R472" s="362"/>
      <c r="S472" s="225"/>
      <c r="T472" s="225"/>
      <c r="U472" s="225"/>
      <c r="V472" s="225"/>
      <c r="W472" s="225"/>
      <c r="X472" s="225"/>
      <c r="Y472" s="225"/>
    </row>
    <row r="473" spans="1:25" ht="20.25" customHeight="1">
      <c r="A473" s="223"/>
      <c r="B473" s="223"/>
      <c r="C473" s="223"/>
      <c r="D473" s="224"/>
      <c r="E473" s="224"/>
      <c r="F473" s="269"/>
      <c r="G473" s="254"/>
      <c r="H473" s="270"/>
      <c r="I473" s="100">
        <v>2</v>
      </c>
      <c r="J473" s="15" t="s">
        <v>152</v>
      </c>
      <c r="K473" s="247"/>
      <c r="L473" s="247"/>
      <c r="M473" s="247"/>
      <c r="N473" s="257"/>
      <c r="O473" s="226"/>
      <c r="P473" s="226"/>
      <c r="Q473" s="363"/>
      <c r="R473" s="363"/>
      <c r="S473" s="226"/>
      <c r="T473" s="226"/>
      <c r="U473" s="226"/>
      <c r="V473" s="226"/>
      <c r="W473" s="226"/>
      <c r="X473" s="226"/>
      <c r="Y473" s="226"/>
    </row>
    <row r="474" spans="1:25" ht="20.25" customHeight="1">
      <c r="A474" s="223"/>
      <c r="B474" s="223"/>
      <c r="C474" s="223"/>
      <c r="D474" s="224"/>
      <c r="E474" s="224"/>
      <c r="F474" s="269"/>
      <c r="G474" s="254"/>
      <c r="H474" s="270"/>
      <c r="I474" s="100">
        <v>3</v>
      </c>
      <c r="J474" s="15" t="s">
        <v>153</v>
      </c>
      <c r="K474" s="247"/>
      <c r="L474" s="247"/>
      <c r="M474" s="247"/>
      <c r="N474" s="257"/>
      <c r="O474" s="226"/>
      <c r="P474" s="226"/>
      <c r="Q474" s="363"/>
      <c r="R474" s="363"/>
      <c r="S474" s="226"/>
      <c r="T474" s="226"/>
      <c r="U474" s="226"/>
      <c r="V474" s="226"/>
      <c r="W474" s="226"/>
      <c r="X474" s="226"/>
      <c r="Y474" s="226"/>
    </row>
    <row r="475" spans="1:25" ht="20.25" customHeight="1">
      <c r="A475" s="223"/>
      <c r="B475" s="223"/>
      <c r="C475" s="223"/>
      <c r="D475" s="224"/>
      <c r="E475" s="224"/>
      <c r="F475" s="269"/>
      <c r="G475" s="254"/>
      <c r="H475" s="270"/>
      <c r="I475" s="100">
        <v>4</v>
      </c>
      <c r="J475" s="15" t="s">
        <v>154</v>
      </c>
      <c r="K475" s="247"/>
      <c r="L475" s="247"/>
      <c r="M475" s="247"/>
      <c r="N475" s="257"/>
      <c r="O475" s="226"/>
      <c r="P475" s="226"/>
      <c r="Q475" s="363"/>
      <c r="R475" s="363"/>
      <c r="S475" s="226"/>
      <c r="T475" s="226"/>
      <c r="U475" s="226"/>
      <c r="V475" s="226"/>
      <c r="W475" s="226"/>
      <c r="X475" s="226"/>
      <c r="Y475" s="226"/>
    </row>
    <row r="476" spans="1:25" ht="20.25" customHeight="1">
      <c r="A476" s="223"/>
      <c r="B476" s="223"/>
      <c r="C476" s="223"/>
      <c r="D476" s="224"/>
      <c r="E476" s="224"/>
      <c r="F476" s="269"/>
      <c r="G476" s="254"/>
      <c r="H476" s="270"/>
      <c r="I476" s="100">
        <v>77</v>
      </c>
      <c r="J476" s="15" t="s">
        <v>155</v>
      </c>
      <c r="K476" s="247"/>
      <c r="L476" s="247"/>
      <c r="M476" s="247"/>
      <c r="N476" s="301"/>
      <c r="O476" s="227"/>
      <c r="P476" s="227"/>
      <c r="Q476" s="364"/>
      <c r="R476" s="364"/>
      <c r="S476" s="227"/>
      <c r="T476" s="227"/>
      <c r="U476" s="227"/>
      <c r="V476" s="227"/>
      <c r="W476" s="227"/>
      <c r="X476" s="227"/>
      <c r="Y476" s="227"/>
    </row>
    <row r="477" spans="1:25" s="92" customFormat="1" ht="24" customHeight="1">
      <c r="A477" s="354" t="s">
        <v>763</v>
      </c>
      <c r="B477" s="354" t="s">
        <v>764</v>
      </c>
      <c r="C477" s="354" t="s">
        <v>114</v>
      </c>
      <c r="D477" s="355">
        <v>37</v>
      </c>
      <c r="E477" s="355" t="s">
        <v>765</v>
      </c>
      <c r="F477" s="415" t="s">
        <v>477</v>
      </c>
      <c r="G477" s="254" t="s">
        <v>766</v>
      </c>
      <c r="H477" s="344"/>
      <c r="I477" s="115">
        <v>1</v>
      </c>
      <c r="J477" s="65" t="s">
        <v>119</v>
      </c>
      <c r="K477" s="410" t="s">
        <v>46</v>
      </c>
      <c r="L477" s="410">
        <v>1</v>
      </c>
      <c r="M477" s="410"/>
      <c r="N477" s="416" t="s">
        <v>50</v>
      </c>
      <c r="O477" s="419" t="s">
        <v>51</v>
      </c>
      <c r="P477" s="419" t="s">
        <v>45</v>
      </c>
      <c r="Q477" s="292"/>
      <c r="R477" s="292"/>
      <c r="S477" s="302"/>
      <c r="T477" s="302"/>
      <c r="U477" s="302"/>
      <c r="V477" s="302"/>
      <c r="W477" s="302"/>
      <c r="X477" s="302"/>
      <c r="Y477" s="302"/>
    </row>
    <row r="478" spans="1:25" s="92" customFormat="1" ht="24" customHeight="1">
      <c r="A478" s="354"/>
      <c r="B478" s="354"/>
      <c r="C478" s="354"/>
      <c r="D478" s="355"/>
      <c r="E478" s="355"/>
      <c r="F478" s="415"/>
      <c r="G478" s="254"/>
      <c r="H478" s="344"/>
      <c r="I478" s="115">
        <v>2</v>
      </c>
      <c r="J478" s="65" t="s">
        <v>120</v>
      </c>
      <c r="K478" s="410"/>
      <c r="L478" s="410"/>
      <c r="M478" s="410"/>
      <c r="N478" s="417"/>
      <c r="O478" s="420"/>
      <c r="P478" s="420"/>
      <c r="Q478" s="293"/>
      <c r="R478" s="293"/>
      <c r="S478" s="303"/>
      <c r="T478" s="303"/>
      <c r="U478" s="303"/>
      <c r="V478" s="303"/>
      <c r="W478" s="303"/>
      <c r="X478" s="303"/>
      <c r="Y478" s="303"/>
    </row>
    <row r="479" spans="1:25" s="92" customFormat="1" ht="20.25" customHeight="1">
      <c r="A479" s="354"/>
      <c r="B479" s="354"/>
      <c r="C479" s="354"/>
      <c r="D479" s="355"/>
      <c r="E479" s="355"/>
      <c r="F479" s="415"/>
      <c r="G479" s="254"/>
      <c r="H479" s="344"/>
      <c r="I479" s="115">
        <v>77</v>
      </c>
      <c r="J479" s="65" t="s">
        <v>155</v>
      </c>
      <c r="K479" s="410"/>
      <c r="L479" s="410"/>
      <c r="M479" s="410"/>
      <c r="N479" s="418"/>
      <c r="O479" s="421"/>
      <c r="P479" s="421"/>
      <c r="Q479" s="294"/>
      <c r="R479" s="294"/>
      <c r="S479" s="304"/>
      <c r="T479" s="304"/>
      <c r="U479" s="304"/>
      <c r="V479" s="304"/>
      <c r="W479" s="304"/>
      <c r="X479" s="304"/>
      <c r="Y479" s="304"/>
    </row>
    <row r="480" spans="1:25" ht="20.25" customHeight="1">
      <c r="A480" s="254" t="s">
        <v>767</v>
      </c>
      <c r="B480" s="431" t="s">
        <v>768</v>
      </c>
      <c r="C480" s="223" t="s">
        <v>225</v>
      </c>
      <c r="D480" s="224">
        <v>38</v>
      </c>
      <c r="E480" s="224" t="s">
        <v>769</v>
      </c>
      <c r="F480" s="269" t="s">
        <v>770</v>
      </c>
      <c r="G480" s="254" t="s">
        <v>771</v>
      </c>
      <c r="H480" s="432" t="s">
        <v>772</v>
      </c>
      <c r="I480" s="116">
        <v>1</v>
      </c>
      <c r="J480" s="19" t="s">
        <v>119</v>
      </c>
      <c r="K480" s="425" t="s">
        <v>46</v>
      </c>
      <c r="L480" s="425">
        <v>1</v>
      </c>
      <c r="M480" s="425" t="s">
        <v>40</v>
      </c>
      <c r="N480" s="425" t="s">
        <v>50</v>
      </c>
      <c r="O480" s="425" t="s">
        <v>51</v>
      </c>
      <c r="P480" s="425" t="s">
        <v>45</v>
      </c>
      <c r="Q480" s="544"/>
      <c r="R480" s="544"/>
      <c r="S480" s="601" t="s">
        <v>40</v>
      </c>
      <c r="T480" s="57"/>
      <c r="U480" s="258"/>
      <c r="V480" s="258"/>
      <c r="W480" s="43"/>
      <c r="X480" s="57"/>
      <c r="Y480" s="57"/>
    </row>
    <row r="481" spans="1:25" ht="20.25" customHeight="1">
      <c r="A481" s="254"/>
      <c r="B481" s="431"/>
      <c r="C481" s="223"/>
      <c r="D481" s="224"/>
      <c r="E481" s="224"/>
      <c r="F481" s="269"/>
      <c r="G481" s="254"/>
      <c r="H481" s="433"/>
      <c r="I481" s="117">
        <v>2</v>
      </c>
      <c r="J481" s="72" t="s">
        <v>120</v>
      </c>
      <c r="K481" s="426"/>
      <c r="L481" s="426"/>
      <c r="M481" s="426"/>
      <c r="N481" s="426"/>
      <c r="O481" s="426"/>
      <c r="P481" s="426"/>
      <c r="Q481" s="545"/>
      <c r="R481" s="545"/>
      <c r="S481" s="602"/>
      <c r="T481" s="57"/>
      <c r="U481" s="258"/>
      <c r="V481" s="258"/>
      <c r="W481" s="43"/>
      <c r="X481" s="57"/>
      <c r="Y481" s="57"/>
    </row>
    <row r="482" spans="1:25" ht="20.25" customHeight="1">
      <c r="A482" s="254"/>
      <c r="B482" s="431"/>
      <c r="C482" s="223"/>
      <c r="D482" s="224"/>
      <c r="E482" s="224"/>
      <c r="F482" s="269"/>
      <c r="G482" s="254"/>
      <c r="H482" s="434"/>
      <c r="I482" s="118">
        <v>77</v>
      </c>
      <c r="J482" s="71" t="s">
        <v>155</v>
      </c>
      <c r="K482" s="427"/>
      <c r="L482" s="427"/>
      <c r="M482" s="427"/>
      <c r="N482" s="427"/>
      <c r="O482" s="427"/>
      <c r="P482" s="427"/>
      <c r="Q482" s="546"/>
      <c r="R482" s="546"/>
      <c r="S482" s="602"/>
      <c r="T482" s="57"/>
      <c r="U482" s="258"/>
      <c r="V482" s="258"/>
      <c r="W482" s="43"/>
      <c r="X482" s="57"/>
      <c r="Y482" s="57"/>
    </row>
    <row r="483" spans="1:25" ht="20.25" customHeight="1">
      <c r="A483" s="254" t="s">
        <v>773</v>
      </c>
      <c r="B483" s="431" t="s">
        <v>774</v>
      </c>
      <c r="C483" s="269" t="s">
        <v>225</v>
      </c>
      <c r="D483" s="224">
        <v>38</v>
      </c>
      <c r="E483" s="224" t="s">
        <v>775</v>
      </c>
      <c r="F483" s="269" t="s">
        <v>770</v>
      </c>
      <c r="G483" s="254" t="s">
        <v>776</v>
      </c>
      <c r="H483" s="432" t="s">
        <v>40</v>
      </c>
      <c r="I483" s="119">
        <v>1</v>
      </c>
      <c r="J483" s="76" t="s">
        <v>119</v>
      </c>
      <c r="K483" s="425" t="s">
        <v>46</v>
      </c>
      <c r="L483" s="425">
        <v>1</v>
      </c>
      <c r="M483" s="425" t="s">
        <v>40</v>
      </c>
      <c r="N483" s="425" t="s">
        <v>50</v>
      </c>
      <c r="O483" s="425" t="s">
        <v>51</v>
      </c>
      <c r="P483" s="425" t="s">
        <v>45</v>
      </c>
      <c r="Q483" s="544"/>
      <c r="R483" s="544"/>
      <c r="S483" s="601" t="s">
        <v>40</v>
      </c>
      <c r="T483" s="57"/>
      <c r="U483" s="235"/>
      <c r="V483" s="620"/>
      <c r="W483" s="57"/>
      <c r="X483" s="57"/>
      <c r="Y483" s="57"/>
    </row>
    <row r="484" spans="1:25" ht="20.25" customHeight="1">
      <c r="A484" s="254"/>
      <c r="B484" s="431"/>
      <c r="C484" s="269"/>
      <c r="D484" s="224"/>
      <c r="E484" s="224"/>
      <c r="F484" s="269"/>
      <c r="G484" s="254"/>
      <c r="H484" s="433"/>
      <c r="I484" s="118">
        <v>2</v>
      </c>
      <c r="J484" s="71" t="s">
        <v>120</v>
      </c>
      <c r="K484" s="426"/>
      <c r="L484" s="426"/>
      <c r="M484" s="426"/>
      <c r="N484" s="426"/>
      <c r="O484" s="426"/>
      <c r="P484" s="426"/>
      <c r="Q484" s="545"/>
      <c r="R484" s="545"/>
      <c r="S484" s="602"/>
      <c r="T484" s="57"/>
      <c r="U484" s="236"/>
      <c r="V484" s="597"/>
      <c r="W484" s="57"/>
      <c r="X484" s="57"/>
      <c r="Y484" s="57"/>
    </row>
    <row r="485" spans="1:25" ht="20.25" customHeight="1">
      <c r="A485" s="254"/>
      <c r="B485" s="431"/>
      <c r="C485" s="269"/>
      <c r="D485" s="224"/>
      <c r="E485" s="224"/>
      <c r="F485" s="269"/>
      <c r="G485" s="254"/>
      <c r="H485" s="434"/>
      <c r="I485" s="118">
        <v>77</v>
      </c>
      <c r="J485" s="71" t="s">
        <v>155</v>
      </c>
      <c r="K485" s="427"/>
      <c r="L485" s="427"/>
      <c r="M485" s="427"/>
      <c r="N485" s="427"/>
      <c r="O485" s="427"/>
      <c r="P485" s="427"/>
      <c r="Q485" s="546"/>
      <c r="R485" s="546"/>
      <c r="S485" s="602"/>
      <c r="T485" s="57"/>
      <c r="U485" s="237"/>
      <c r="V485" s="621"/>
      <c r="W485" s="57"/>
      <c r="X485" s="57"/>
      <c r="Y485" s="57"/>
    </row>
    <row r="486" spans="1:25" ht="20.25" customHeight="1">
      <c r="A486" s="228"/>
      <c r="B486" s="228"/>
      <c r="C486" s="228"/>
      <c r="D486" s="232">
        <v>39</v>
      </c>
      <c r="E486" s="232" t="s">
        <v>777</v>
      </c>
      <c r="F486" s="228"/>
      <c r="G486" s="428" t="s">
        <v>778</v>
      </c>
      <c r="H486" s="425"/>
      <c r="I486" s="119">
        <v>1</v>
      </c>
      <c r="J486" s="76" t="s">
        <v>119</v>
      </c>
      <c r="K486" s="425" t="s">
        <v>46</v>
      </c>
      <c r="L486" s="425">
        <v>1</v>
      </c>
      <c r="M486" s="425"/>
      <c r="N486" s="425" t="s">
        <v>50</v>
      </c>
      <c r="O486" s="425" t="s">
        <v>51</v>
      </c>
      <c r="P486" s="425" t="s">
        <v>45</v>
      </c>
      <c r="Q486" s="349"/>
      <c r="R486" s="349"/>
      <c r="S486" s="425"/>
      <c r="T486" s="57"/>
      <c r="U486" s="235"/>
      <c r="V486" s="235"/>
      <c r="W486" s="235"/>
      <c r="X486" s="235"/>
      <c r="Y486" s="235"/>
    </row>
    <row r="487" spans="1:25" ht="20.25" customHeight="1">
      <c r="A487" s="229"/>
      <c r="B487" s="229"/>
      <c r="C487" s="229"/>
      <c r="D487" s="233"/>
      <c r="E487" s="233"/>
      <c r="F487" s="229"/>
      <c r="G487" s="429"/>
      <c r="H487" s="426"/>
      <c r="I487" s="118">
        <v>2</v>
      </c>
      <c r="J487" s="71" t="s">
        <v>120</v>
      </c>
      <c r="K487" s="426"/>
      <c r="L487" s="426"/>
      <c r="M487" s="426"/>
      <c r="N487" s="426"/>
      <c r="O487" s="426"/>
      <c r="P487" s="426"/>
      <c r="Q487" s="350"/>
      <c r="R487" s="350"/>
      <c r="S487" s="426"/>
      <c r="T487" s="57"/>
      <c r="U487" s="236"/>
      <c r="V487" s="236"/>
      <c r="W487" s="236"/>
      <c r="X487" s="236"/>
      <c r="Y487" s="236"/>
    </row>
    <row r="488" spans="1:25" ht="20.25" customHeight="1">
      <c r="A488" s="230"/>
      <c r="B488" s="230"/>
      <c r="C488" s="230"/>
      <c r="D488" s="234"/>
      <c r="E488" s="234"/>
      <c r="F488" s="230"/>
      <c r="G488" s="430"/>
      <c r="H488" s="427"/>
      <c r="I488" s="118">
        <v>77</v>
      </c>
      <c r="J488" s="71" t="s">
        <v>155</v>
      </c>
      <c r="K488" s="427"/>
      <c r="L488" s="427"/>
      <c r="M488" s="427"/>
      <c r="N488" s="427"/>
      <c r="O488" s="427"/>
      <c r="P488" s="427"/>
      <c r="Q488" s="351"/>
      <c r="R488" s="351"/>
      <c r="S488" s="427"/>
      <c r="T488" s="57"/>
      <c r="U488" s="237"/>
      <c r="V488" s="237"/>
      <c r="W488" s="237"/>
      <c r="X488" s="237"/>
      <c r="Y488" s="237"/>
    </row>
    <row r="489" spans="1:25" ht="18" customHeight="1">
      <c r="A489" s="223" t="s">
        <v>779</v>
      </c>
      <c r="B489" s="223" t="s">
        <v>780</v>
      </c>
      <c r="C489" s="223" t="s">
        <v>129</v>
      </c>
      <c r="D489" s="224">
        <v>39</v>
      </c>
      <c r="E489" s="224" t="s">
        <v>781</v>
      </c>
      <c r="F489" s="269" t="s">
        <v>477</v>
      </c>
      <c r="G489" s="254" t="s">
        <v>782</v>
      </c>
      <c r="H489" s="270" t="s">
        <v>150</v>
      </c>
      <c r="I489" s="100">
        <v>1</v>
      </c>
      <c r="J489" s="15" t="s">
        <v>151</v>
      </c>
      <c r="K489" s="247" t="s">
        <v>46</v>
      </c>
      <c r="L489" s="247">
        <v>1</v>
      </c>
      <c r="M489" s="247"/>
      <c r="N489" s="328" t="s">
        <v>50</v>
      </c>
      <c r="O489" s="456" t="s">
        <v>51</v>
      </c>
      <c r="P489" s="456" t="s">
        <v>45</v>
      </c>
      <c r="Q489" s="295"/>
      <c r="R489" s="295"/>
      <c r="S489" s="241"/>
      <c r="T489" s="241"/>
      <c r="U489" s="241"/>
      <c r="V489" s="241"/>
      <c r="W489" s="241"/>
      <c r="X489" s="241"/>
      <c r="Y489" s="241"/>
    </row>
    <row r="490" spans="1:25" ht="20.25" customHeight="1">
      <c r="A490" s="223"/>
      <c r="B490" s="223"/>
      <c r="C490" s="223"/>
      <c r="D490" s="224"/>
      <c r="E490" s="224"/>
      <c r="F490" s="269"/>
      <c r="G490" s="254"/>
      <c r="H490" s="270"/>
      <c r="I490" s="100">
        <v>2</v>
      </c>
      <c r="J490" s="15" t="s">
        <v>152</v>
      </c>
      <c r="K490" s="247"/>
      <c r="L490" s="247"/>
      <c r="M490" s="247"/>
      <c r="N490" s="329"/>
      <c r="O490" s="457"/>
      <c r="P490" s="457"/>
      <c r="Q490" s="296"/>
      <c r="R490" s="296"/>
      <c r="S490" s="242"/>
      <c r="T490" s="242"/>
      <c r="U490" s="242"/>
      <c r="V490" s="242"/>
      <c r="W490" s="242"/>
      <c r="X490" s="242"/>
      <c r="Y490" s="242"/>
    </row>
    <row r="491" spans="1:25" ht="20.25" customHeight="1">
      <c r="A491" s="223"/>
      <c r="B491" s="223"/>
      <c r="C491" s="223"/>
      <c r="D491" s="224"/>
      <c r="E491" s="224"/>
      <c r="F491" s="269"/>
      <c r="G491" s="254"/>
      <c r="H491" s="270"/>
      <c r="I491" s="100">
        <v>3</v>
      </c>
      <c r="J491" s="15" t="s">
        <v>153</v>
      </c>
      <c r="K491" s="247"/>
      <c r="L491" s="247"/>
      <c r="M491" s="247"/>
      <c r="N491" s="329"/>
      <c r="O491" s="457"/>
      <c r="P491" s="457"/>
      <c r="Q491" s="296"/>
      <c r="R491" s="296"/>
      <c r="S491" s="242"/>
      <c r="T491" s="242"/>
      <c r="U491" s="242"/>
      <c r="V491" s="242"/>
      <c r="W491" s="242"/>
      <c r="X491" s="242"/>
      <c r="Y491" s="242"/>
    </row>
    <row r="492" spans="1:25" ht="20.25" customHeight="1">
      <c r="A492" s="223"/>
      <c r="B492" s="223"/>
      <c r="C492" s="223"/>
      <c r="D492" s="224"/>
      <c r="E492" s="224"/>
      <c r="F492" s="269"/>
      <c r="G492" s="254"/>
      <c r="H492" s="270"/>
      <c r="I492" s="100">
        <v>4</v>
      </c>
      <c r="J492" s="15" t="s">
        <v>154</v>
      </c>
      <c r="K492" s="247"/>
      <c r="L492" s="247"/>
      <c r="M492" s="247"/>
      <c r="N492" s="329"/>
      <c r="O492" s="457"/>
      <c r="P492" s="457"/>
      <c r="Q492" s="296"/>
      <c r="R492" s="296"/>
      <c r="S492" s="242"/>
      <c r="T492" s="242"/>
      <c r="U492" s="242"/>
      <c r="V492" s="242"/>
      <c r="W492" s="242"/>
      <c r="X492" s="242"/>
      <c r="Y492" s="242"/>
    </row>
    <row r="493" spans="1:25" ht="20.25" customHeight="1">
      <c r="A493" s="223"/>
      <c r="B493" s="223"/>
      <c r="C493" s="223"/>
      <c r="D493" s="224"/>
      <c r="E493" s="224"/>
      <c r="F493" s="269"/>
      <c r="G493" s="254"/>
      <c r="H493" s="270"/>
      <c r="I493" s="100">
        <v>77</v>
      </c>
      <c r="J493" s="15" t="s">
        <v>155</v>
      </c>
      <c r="K493" s="247"/>
      <c r="L493" s="247"/>
      <c r="M493" s="247"/>
      <c r="N493" s="330"/>
      <c r="O493" s="458"/>
      <c r="P493" s="458"/>
      <c r="Q493" s="297"/>
      <c r="R493" s="297"/>
      <c r="S493" s="243"/>
      <c r="T493" s="243"/>
      <c r="U493" s="243"/>
      <c r="V493" s="243"/>
      <c r="W493" s="243"/>
      <c r="X493" s="243"/>
      <c r="Y493" s="243"/>
    </row>
    <row r="494" spans="1:25" ht="20.25" customHeight="1">
      <c r="A494" s="610" t="s">
        <v>783</v>
      </c>
      <c r="B494" s="610" t="s">
        <v>784</v>
      </c>
      <c r="C494" s="610" t="s">
        <v>146</v>
      </c>
      <c r="D494" s="492">
        <v>39</v>
      </c>
      <c r="E494" s="492" t="s">
        <v>785</v>
      </c>
      <c r="F494" s="610" t="s">
        <v>786</v>
      </c>
      <c r="G494" s="610" t="s">
        <v>787</v>
      </c>
      <c r="H494" s="607" t="s">
        <v>150</v>
      </c>
      <c r="I494" s="123">
        <v>1</v>
      </c>
      <c r="J494" s="200" t="s">
        <v>151</v>
      </c>
      <c r="K494" s="435" t="s">
        <v>46</v>
      </c>
      <c r="L494" s="435">
        <v>1</v>
      </c>
      <c r="M494" s="435" t="s">
        <v>40</v>
      </c>
      <c r="N494" s="435" t="s">
        <v>50</v>
      </c>
      <c r="O494" s="435" t="s">
        <v>51</v>
      </c>
      <c r="P494" s="438" t="s">
        <v>45</v>
      </c>
      <c r="Q494" s="441"/>
      <c r="R494" s="441"/>
      <c r="S494" s="305" t="s">
        <v>40</v>
      </c>
      <c r="T494" s="305" t="s">
        <v>40</v>
      </c>
      <c r="U494" s="305" t="s">
        <v>40</v>
      </c>
      <c r="V494" s="305"/>
      <c r="W494" s="305" t="s">
        <v>40</v>
      </c>
      <c r="X494" s="305" t="s">
        <v>40</v>
      </c>
      <c r="Y494" s="305" t="s">
        <v>40</v>
      </c>
    </row>
    <row r="495" spans="1:25" ht="20.25" customHeight="1">
      <c r="A495" s="611"/>
      <c r="B495" s="611"/>
      <c r="C495" s="611"/>
      <c r="D495" s="493"/>
      <c r="E495" s="493"/>
      <c r="F495" s="611"/>
      <c r="G495" s="611"/>
      <c r="H495" s="608"/>
      <c r="I495" s="124">
        <v>2</v>
      </c>
      <c r="J495" s="201" t="s">
        <v>152</v>
      </c>
      <c r="K495" s="436"/>
      <c r="L495" s="436"/>
      <c r="M495" s="436"/>
      <c r="N495" s="436"/>
      <c r="O495" s="436"/>
      <c r="P495" s="439"/>
      <c r="Q495" s="442"/>
      <c r="R495" s="442"/>
      <c r="S495" s="306"/>
      <c r="T495" s="306"/>
      <c r="U495" s="306"/>
      <c r="V495" s="306"/>
      <c r="W495" s="306"/>
      <c r="X495" s="306"/>
      <c r="Y495" s="306"/>
    </row>
    <row r="496" spans="1:25" ht="20.25" customHeight="1">
      <c r="A496" s="611"/>
      <c r="B496" s="611"/>
      <c r="C496" s="611"/>
      <c r="D496" s="493"/>
      <c r="E496" s="493"/>
      <c r="F496" s="611"/>
      <c r="G496" s="611"/>
      <c r="H496" s="608"/>
      <c r="I496" s="124">
        <v>3</v>
      </c>
      <c r="J496" s="201" t="s">
        <v>153</v>
      </c>
      <c r="K496" s="436"/>
      <c r="L496" s="436"/>
      <c r="M496" s="436"/>
      <c r="N496" s="436"/>
      <c r="O496" s="436"/>
      <c r="P496" s="439"/>
      <c r="Q496" s="442"/>
      <c r="R496" s="442"/>
      <c r="S496" s="306"/>
      <c r="T496" s="306"/>
      <c r="U496" s="306"/>
      <c r="V496" s="306"/>
      <c r="W496" s="306"/>
      <c r="X496" s="306"/>
      <c r="Y496" s="306"/>
    </row>
    <row r="497" spans="1:25" ht="20.25" customHeight="1">
      <c r="A497" s="611"/>
      <c r="B497" s="611"/>
      <c r="C497" s="611"/>
      <c r="D497" s="493"/>
      <c r="E497" s="493"/>
      <c r="F497" s="611"/>
      <c r="G497" s="611"/>
      <c r="H497" s="608"/>
      <c r="I497" s="124">
        <v>4</v>
      </c>
      <c r="J497" s="201" t="s">
        <v>154</v>
      </c>
      <c r="K497" s="436"/>
      <c r="L497" s="436"/>
      <c r="M497" s="436"/>
      <c r="N497" s="436"/>
      <c r="O497" s="436"/>
      <c r="P497" s="439"/>
      <c r="Q497" s="442"/>
      <c r="R497" s="442"/>
      <c r="S497" s="306"/>
      <c r="T497" s="306"/>
      <c r="U497" s="306"/>
      <c r="V497" s="306"/>
      <c r="W497" s="306"/>
      <c r="X497" s="306"/>
      <c r="Y497" s="306"/>
    </row>
    <row r="498" spans="1:25" ht="20.25" customHeight="1">
      <c r="A498" s="612"/>
      <c r="B498" s="612"/>
      <c r="C498" s="612"/>
      <c r="D498" s="540"/>
      <c r="E498" s="540"/>
      <c r="F498" s="612"/>
      <c r="G498" s="612"/>
      <c r="H498" s="609"/>
      <c r="I498" s="124">
        <v>77</v>
      </c>
      <c r="J498" s="201" t="s">
        <v>155</v>
      </c>
      <c r="K498" s="437"/>
      <c r="L498" s="437"/>
      <c r="M498" s="437"/>
      <c r="N498" s="437"/>
      <c r="O498" s="437"/>
      <c r="P498" s="440"/>
      <c r="Q498" s="443"/>
      <c r="R498" s="443"/>
      <c r="S498" s="307"/>
      <c r="T498" s="307"/>
      <c r="U498" s="307"/>
      <c r="V498" s="307"/>
      <c r="W498" s="307"/>
      <c r="X498" s="307"/>
      <c r="Y498" s="307"/>
    </row>
    <row r="499" spans="1:25" ht="15.5">
      <c r="D499" s="169">
        <v>40</v>
      </c>
      <c r="E499" s="170" t="s">
        <v>788</v>
      </c>
      <c r="G499" s="15" t="s">
        <v>789</v>
      </c>
      <c r="K499" s="101" t="s">
        <v>46</v>
      </c>
      <c r="L499" s="101">
        <v>1</v>
      </c>
      <c r="N499" s="66" t="s">
        <v>44</v>
      </c>
      <c r="O499" s="12"/>
      <c r="P499" s="12"/>
      <c r="Q499" s="13"/>
      <c r="R499" s="14"/>
      <c r="S499" s="12"/>
      <c r="T499" s="12" t="s">
        <v>8</v>
      </c>
      <c r="U499" s="12"/>
      <c r="V499" s="12"/>
      <c r="W499" s="12"/>
      <c r="X499" s="12"/>
      <c r="Y499" s="12"/>
    </row>
    <row r="500" spans="1:25" ht="18" customHeight="1">
      <c r="A500" s="223" t="s">
        <v>790</v>
      </c>
      <c r="B500" s="223" t="s">
        <v>791</v>
      </c>
      <c r="C500" s="223" t="s">
        <v>146</v>
      </c>
      <c r="D500" s="224">
        <v>40</v>
      </c>
      <c r="E500" s="224" t="s">
        <v>792</v>
      </c>
      <c r="F500" s="269" t="s">
        <v>477</v>
      </c>
      <c r="G500" s="254" t="s">
        <v>793</v>
      </c>
      <c r="H500" s="270" t="s">
        <v>794</v>
      </c>
      <c r="I500" s="100">
        <v>1</v>
      </c>
      <c r="J500" s="15" t="s">
        <v>135</v>
      </c>
      <c r="K500" s="247" t="s">
        <v>46</v>
      </c>
      <c r="L500" s="247">
        <v>1</v>
      </c>
      <c r="M500" s="247"/>
      <c r="N500" s="256" t="s">
        <v>50</v>
      </c>
      <c r="O500" s="295" t="s">
        <v>51</v>
      </c>
      <c r="P500" s="295" t="s">
        <v>45</v>
      </c>
      <c r="Q500" s="406"/>
      <c r="R500" s="406"/>
      <c r="S500" s="295"/>
      <c r="T500" s="295"/>
      <c r="U500" s="295"/>
      <c r="V500" s="295"/>
      <c r="W500" s="295"/>
      <c r="X500" s="295"/>
      <c r="Y500" s="295"/>
    </row>
    <row r="501" spans="1:25" ht="20.25" customHeight="1">
      <c r="A501" s="223"/>
      <c r="B501" s="223"/>
      <c r="C501" s="223"/>
      <c r="D501" s="224"/>
      <c r="E501" s="224"/>
      <c r="F501" s="269"/>
      <c r="G501" s="254"/>
      <c r="H501" s="270"/>
      <c r="I501" s="100">
        <v>2</v>
      </c>
      <c r="J501" s="205" t="s">
        <v>795</v>
      </c>
      <c r="K501" s="247"/>
      <c r="L501" s="247"/>
      <c r="M501" s="247"/>
      <c r="N501" s="257"/>
      <c r="O501" s="296"/>
      <c r="P501" s="296"/>
      <c r="Q501" s="407"/>
      <c r="R501" s="407"/>
      <c r="S501" s="296"/>
      <c r="T501" s="296"/>
      <c r="U501" s="296"/>
      <c r="V501" s="296"/>
      <c r="W501" s="296"/>
      <c r="X501" s="296"/>
      <c r="Y501" s="296"/>
    </row>
    <row r="502" spans="1:25" ht="20.25" customHeight="1">
      <c r="A502" s="223"/>
      <c r="B502" s="223"/>
      <c r="C502" s="223"/>
      <c r="D502" s="224"/>
      <c r="E502" s="224"/>
      <c r="F502" s="269"/>
      <c r="G502" s="254"/>
      <c r="H502" s="270"/>
      <c r="I502" s="100">
        <v>3</v>
      </c>
      <c r="J502" s="15" t="s">
        <v>796</v>
      </c>
      <c r="K502" s="247"/>
      <c r="L502" s="247"/>
      <c r="M502" s="247"/>
      <c r="N502" s="257"/>
      <c r="O502" s="296"/>
      <c r="P502" s="296"/>
      <c r="Q502" s="407"/>
      <c r="R502" s="407"/>
      <c r="S502" s="296"/>
      <c r="T502" s="296"/>
      <c r="U502" s="296"/>
      <c r="V502" s="296"/>
      <c r="W502" s="296"/>
      <c r="X502" s="296"/>
      <c r="Y502" s="296"/>
    </row>
    <row r="503" spans="1:25" ht="20.25" customHeight="1">
      <c r="A503" s="223"/>
      <c r="B503" s="223"/>
      <c r="C503" s="223"/>
      <c r="D503" s="224"/>
      <c r="E503" s="224"/>
      <c r="F503" s="269"/>
      <c r="G503" s="254"/>
      <c r="H503" s="270"/>
      <c r="I503" s="100">
        <v>4</v>
      </c>
      <c r="J503" s="15" t="s">
        <v>797</v>
      </c>
      <c r="K503" s="247"/>
      <c r="L503" s="247"/>
      <c r="M503" s="247"/>
      <c r="N503" s="257"/>
      <c r="O503" s="296"/>
      <c r="P503" s="296"/>
      <c r="Q503" s="407"/>
      <c r="R503" s="407"/>
      <c r="S503" s="296"/>
      <c r="T503" s="296"/>
      <c r="U503" s="296"/>
      <c r="V503" s="296"/>
      <c r="W503" s="296"/>
      <c r="X503" s="296"/>
      <c r="Y503" s="296"/>
    </row>
    <row r="504" spans="1:25" ht="20.25" customHeight="1">
      <c r="A504" s="223"/>
      <c r="B504" s="223"/>
      <c r="C504" s="223"/>
      <c r="D504" s="224"/>
      <c r="E504" s="224"/>
      <c r="F504" s="269"/>
      <c r="G504" s="254"/>
      <c r="H504" s="270"/>
      <c r="I504" s="100">
        <v>77</v>
      </c>
      <c r="J504" s="15" t="s">
        <v>155</v>
      </c>
      <c r="K504" s="247"/>
      <c r="L504" s="247"/>
      <c r="M504" s="247"/>
      <c r="N504" s="301"/>
      <c r="O504" s="297"/>
      <c r="P504" s="297"/>
      <c r="Q504" s="408"/>
      <c r="R504" s="408"/>
      <c r="S504" s="297"/>
      <c r="T504" s="297"/>
      <c r="U504" s="297"/>
      <c r="V504" s="297"/>
      <c r="W504" s="297"/>
      <c r="X504" s="297"/>
      <c r="Y504" s="297"/>
    </row>
    <row r="505" spans="1:25" ht="19.5" customHeight="1">
      <c r="A505" s="28" t="s">
        <v>798</v>
      </c>
      <c r="B505" s="28" t="s">
        <v>799</v>
      </c>
      <c r="C505" s="223" t="s">
        <v>129</v>
      </c>
      <c r="D505" s="224">
        <v>41</v>
      </c>
      <c r="E505" s="224" t="s">
        <v>800</v>
      </c>
      <c r="F505" s="269" t="s">
        <v>477</v>
      </c>
      <c r="G505" s="254" t="s">
        <v>801</v>
      </c>
      <c r="H505" s="270"/>
      <c r="I505" s="100">
        <v>1</v>
      </c>
      <c r="J505" s="15" t="s">
        <v>540</v>
      </c>
      <c r="K505" s="247" t="s">
        <v>46</v>
      </c>
      <c r="L505" s="247">
        <v>1</v>
      </c>
      <c r="M505" s="247"/>
      <c r="N505" s="256" t="s">
        <v>50</v>
      </c>
      <c r="O505" s="295" t="s">
        <v>51</v>
      </c>
      <c r="P505" s="295" t="s">
        <v>45</v>
      </c>
      <c r="Q505" s="406"/>
      <c r="R505" s="406"/>
      <c r="S505" s="295"/>
      <c r="T505" s="295"/>
      <c r="U505" s="295"/>
      <c r="V505" s="295"/>
      <c r="W505" s="295"/>
      <c r="X505" s="295"/>
      <c r="Y505" s="295"/>
    </row>
    <row r="506" spans="1:25" ht="20.25" customHeight="1">
      <c r="A506" s="604" t="s">
        <v>802</v>
      </c>
      <c r="B506" s="604" t="s">
        <v>803</v>
      </c>
      <c r="C506" s="223"/>
      <c r="D506" s="224"/>
      <c r="E506" s="224"/>
      <c r="F506" s="269"/>
      <c r="G506" s="254"/>
      <c r="H506" s="270"/>
      <c r="I506" s="100">
        <v>2</v>
      </c>
      <c r="J506" s="15" t="s">
        <v>541</v>
      </c>
      <c r="K506" s="247"/>
      <c r="L506" s="247"/>
      <c r="M506" s="247"/>
      <c r="N506" s="257"/>
      <c r="O506" s="296"/>
      <c r="P506" s="296"/>
      <c r="Q506" s="407"/>
      <c r="R506" s="407"/>
      <c r="S506" s="296"/>
      <c r="T506" s="296"/>
      <c r="U506" s="296"/>
      <c r="V506" s="296"/>
      <c r="W506" s="296"/>
      <c r="X506" s="296"/>
      <c r="Y506" s="296"/>
    </row>
    <row r="507" spans="1:25" ht="20.25" customHeight="1">
      <c r="A507" s="605"/>
      <c r="B507" s="605"/>
      <c r="C507" s="223"/>
      <c r="D507" s="224"/>
      <c r="E507" s="224"/>
      <c r="F507" s="269"/>
      <c r="G507" s="254"/>
      <c r="H507" s="270"/>
      <c r="I507" s="100">
        <v>77</v>
      </c>
      <c r="J507" s="15" t="s">
        <v>155</v>
      </c>
      <c r="K507" s="247"/>
      <c r="L507" s="247"/>
      <c r="M507" s="247"/>
      <c r="N507" s="301"/>
      <c r="O507" s="297"/>
      <c r="P507" s="297"/>
      <c r="Q507" s="408"/>
      <c r="R507" s="408"/>
      <c r="S507" s="297"/>
      <c r="T507" s="297"/>
      <c r="U507" s="297"/>
      <c r="V507" s="297"/>
      <c r="W507" s="297"/>
      <c r="X507" s="297"/>
      <c r="Y507" s="297"/>
    </row>
    <row r="508" spans="1:25" s="92" customFormat="1" ht="18.75" customHeight="1">
      <c r="A508" s="354" t="s">
        <v>804</v>
      </c>
      <c r="B508" s="354" t="s">
        <v>805</v>
      </c>
      <c r="C508" s="354" t="s">
        <v>225</v>
      </c>
      <c r="D508" s="355">
        <v>42</v>
      </c>
      <c r="E508" s="355" t="s">
        <v>806</v>
      </c>
      <c r="F508" s="415" t="s">
        <v>477</v>
      </c>
      <c r="G508" s="411" t="s">
        <v>807</v>
      </c>
      <c r="H508" s="344"/>
      <c r="I508" s="115">
        <v>1</v>
      </c>
      <c r="J508" s="65" t="s">
        <v>540</v>
      </c>
      <c r="K508" s="410" t="s">
        <v>46</v>
      </c>
      <c r="L508" s="410">
        <v>1</v>
      </c>
      <c r="M508" s="410"/>
      <c r="N508" s="412" t="s">
        <v>50</v>
      </c>
      <c r="O508" s="292" t="s">
        <v>51</v>
      </c>
      <c r="P508" s="292" t="s">
        <v>45</v>
      </c>
      <c r="Q508" s="292"/>
      <c r="R508" s="292"/>
      <c r="S508" s="292"/>
      <c r="T508" s="292"/>
      <c r="U508" s="292"/>
      <c r="V508" s="292"/>
      <c r="W508" s="292"/>
      <c r="X508" s="292"/>
      <c r="Y508" s="292"/>
    </row>
    <row r="509" spans="1:25" s="92" customFormat="1" ht="20.25" customHeight="1">
      <c r="A509" s="354"/>
      <c r="B509" s="354"/>
      <c r="C509" s="354"/>
      <c r="D509" s="355"/>
      <c r="E509" s="355"/>
      <c r="F509" s="415"/>
      <c r="G509" s="411"/>
      <c r="H509" s="344"/>
      <c r="I509" s="115">
        <v>2</v>
      </c>
      <c r="J509" s="65" t="s">
        <v>541</v>
      </c>
      <c r="K509" s="410"/>
      <c r="L509" s="410"/>
      <c r="M509" s="410"/>
      <c r="N509" s="413"/>
      <c r="O509" s="293"/>
      <c r="P509" s="293"/>
      <c r="Q509" s="293"/>
      <c r="R509" s="293"/>
      <c r="S509" s="293"/>
      <c r="T509" s="293"/>
      <c r="U509" s="293"/>
      <c r="V509" s="293"/>
      <c r="W509" s="293"/>
      <c r="X509" s="293"/>
      <c r="Y509" s="293"/>
    </row>
    <row r="510" spans="1:25" s="92" customFormat="1" ht="20.25" customHeight="1">
      <c r="A510" s="354"/>
      <c r="B510" s="354"/>
      <c r="C510" s="354"/>
      <c r="D510" s="355"/>
      <c r="E510" s="355"/>
      <c r="F510" s="415"/>
      <c r="G510" s="411"/>
      <c r="H510" s="344"/>
      <c r="I510" s="115">
        <v>77</v>
      </c>
      <c r="J510" s="65" t="s">
        <v>155</v>
      </c>
      <c r="K510" s="410"/>
      <c r="L510" s="410"/>
      <c r="M510" s="410"/>
      <c r="N510" s="414"/>
      <c r="O510" s="294"/>
      <c r="P510" s="294"/>
      <c r="Q510" s="294"/>
      <c r="R510" s="294"/>
      <c r="S510" s="294"/>
      <c r="T510" s="294"/>
      <c r="U510" s="294"/>
      <c r="V510" s="294"/>
      <c r="W510" s="294"/>
      <c r="X510" s="294"/>
      <c r="Y510" s="294"/>
    </row>
    <row r="511" spans="1:25" ht="18" customHeight="1">
      <c r="A511" s="223" t="s">
        <v>808</v>
      </c>
      <c r="B511" s="223" t="s">
        <v>809</v>
      </c>
      <c r="C511" s="223" t="s">
        <v>129</v>
      </c>
      <c r="D511" s="224">
        <v>42</v>
      </c>
      <c r="E511" s="224" t="s">
        <v>810</v>
      </c>
      <c r="F511" s="269" t="s">
        <v>477</v>
      </c>
      <c r="G511" s="409" t="s">
        <v>811</v>
      </c>
      <c r="H511" s="270" t="s">
        <v>812</v>
      </c>
      <c r="I511" s="100">
        <v>1</v>
      </c>
      <c r="J511" s="15" t="s">
        <v>813</v>
      </c>
      <c r="K511" s="247" t="s">
        <v>46</v>
      </c>
      <c r="L511" s="247">
        <v>1</v>
      </c>
      <c r="M511" s="247"/>
      <c r="N511" s="256" t="s">
        <v>50</v>
      </c>
      <c r="O511" s="225" t="s">
        <v>51</v>
      </c>
      <c r="P511" s="225" t="s">
        <v>45</v>
      </c>
      <c r="Q511" s="362"/>
      <c r="R511" s="362"/>
      <c r="S511" s="225"/>
      <c r="T511" s="225"/>
      <c r="U511" s="225"/>
      <c r="V511" s="225"/>
      <c r="W511" s="225"/>
      <c r="X511" s="225"/>
      <c r="Y511" s="225"/>
    </row>
    <row r="512" spans="1:25" ht="20.25" customHeight="1">
      <c r="A512" s="223"/>
      <c r="B512" s="223"/>
      <c r="C512" s="223"/>
      <c r="D512" s="224"/>
      <c r="E512" s="224"/>
      <c r="F512" s="269"/>
      <c r="G512" s="409"/>
      <c r="H512" s="270"/>
      <c r="I512" s="100">
        <v>2</v>
      </c>
      <c r="J512" s="15" t="s">
        <v>814</v>
      </c>
      <c r="K512" s="247"/>
      <c r="L512" s="247"/>
      <c r="M512" s="247"/>
      <c r="N512" s="257"/>
      <c r="O512" s="226"/>
      <c r="P512" s="226"/>
      <c r="Q512" s="363"/>
      <c r="R512" s="363"/>
      <c r="S512" s="226"/>
      <c r="T512" s="226"/>
      <c r="U512" s="226"/>
      <c r="V512" s="226"/>
      <c r="W512" s="226"/>
      <c r="X512" s="226"/>
      <c r="Y512" s="226"/>
    </row>
    <row r="513" spans="1:25" ht="20.25" customHeight="1">
      <c r="A513" s="223"/>
      <c r="B513" s="223"/>
      <c r="C513" s="223"/>
      <c r="D513" s="224"/>
      <c r="E513" s="224"/>
      <c r="F513" s="269"/>
      <c r="G513" s="409"/>
      <c r="H513" s="270"/>
      <c r="I513" s="100">
        <v>3</v>
      </c>
      <c r="J513" s="15" t="s">
        <v>815</v>
      </c>
      <c r="K513" s="247"/>
      <c r="L513" s="247"/>
      <c r="M513" s="247"/>
      <c r="N513" s="257"/>
      <c r="O513" s="226"/>
      <c r="P513" s="226"/>
      <c r="Q513" s="363"/>
      <c r="R513" s="363"/>
      <c r="S513" s="226"/>
      <c r="T513" s="226"/>
      <c r="U513" s="226"/>
      <c r="V513" s="226"/>
      <c r="W513" s="226"/>
      <c r="X513" s="226"/>
      <c r="Y513" s="226"/>
    </row>
    <row r="514" spans="1:25" ht="20.25" customHeight="1">
      <c r="A514" s="223"/>
      <c r="B514" s="223"/>
      <c r="C514" s="223"/>
      <c r="D514" s="224"/>
      <c r="E514" s="224"/>
      <c r="F514" s="269"/>
      <c r="G514" s="409"/>
      <c r="H514" s="270"/>
      <c r="I514" s="100">
        <v>4</v>
      </c>
      <c r="J514" s="65" t="s">
        <v>816</v>
      </c>
      <c r="K514" s="247"/>
      <c r="L514" s="247"/>
      <c r="M514" s="247"/>
      <c r="N514" s="257"/>
      <c r="O514" s="226"/>
      <c r="P514" s="226"/>
      <c r="Q514" s="363"/>
      <c r="R514" s="363"/>
      <c r="S514" s="226"/>
      <c r="T514" s="226"/>
      <c r="U514" s="226"/>
      <c r="V514" s="226"/>
      <c r="W514" s="226"/>
      <c r="X514" s="226"/>
      <c r="Y514" s="226"/>
    </row>
    <row r="515" spans="1:25" ht="20.25" customHeight="1">
      <c r="A515" s="223"/>
      <c r="B515" s="223"/>
      <c r="C515" s="223"/>
      <c r="D515" s="224"/>
      <c r="E515" s="224"/>
      <c r="F515" s="269"/>
      <c r="G515" s="409"/>
      <c r="H515" s="270"/>
      <c r="I515" s="100">
        <v>77</v>
      </c>
      <c r="J515" s="15" t="s">
        <v>155</v>
      </c>
      <c r="K515" s="247"/>
      <c r="L515" s="247"/>
      <c r="M515" s="247"/>
      <c r="N515" s="301"/>
      <c r="O515" s="227"/>
      <c r="P515" s="227"/>
      <c r="Q515" s="364"/>
      <c r="R515" s="364"/>
      <c r="S515" s="227"/>
      <c r="T515" s="227"/>
      <c r="U515" s="227"/>
      <c r="V515" s="227"/>
      <c r="W515" s="227"/>
      <c r="X515" s="227"/>
      <c r="Y515" s="227"/>
    </row>
    <row r="516" spans="1:25" ht="18.75" customHeight="1">
      <c r="A516" s="223" t="s">
        <v>817</v>
      </c>
      <c r="B516" s="223" t="s">
        <v>818</v>
      </c>
      <c r="C516" s="223" t="s">
        <v>129</v>
      </c>
      <c r="D516" s="224">
        <v>43</v>
      </c>
      <c r="E516" s="224" t="s">
        <v>819</v>
      </c>
      <c r="F516" s="269" t="s">
        <v>477</v>
      </c>
      <c r="G516" s="409" t="s">
        <v>820</v>
      </c>
      <c r="H516" s="270" t="s">
        <v>812</v>
      </c>
      <c r="I516" s="100">
        <v>1</v>
      </c>
      <c r="J516" s="15" t="s">
        <v>821</v>
      </c>
      <c r="K516" s="247" t="s">
        <v>46</v>
      </c>
      <c r="L516" s="247">
        <v>1</v>
      </c>
      <c r="M516" s="247"/>
      <c r="N516" s="256" t="s">
        <v>50</v>
      </c>
      <c r="O516" s="225" t="s">
        <v>51</v>
      </c>
      <c r="P516" s="225" t="s">
        <v>45</v>
      </c>
      <c r="Q516" s="362"/>
      <c r="R516" s="362"/>
      <c r="S516" s="225"/>
      <c r="T516" s="225"/>
      <c r="U516" s="225"/>
      <c r="V516" s="225"/>
      <c r="W516" s="225"/>
      <c r="X516" s="225"/>
      <c r="Y516" s="225"/>
    </row>
    <row r="517" spans="1:25" ht="20.25" customHeight="1">
      <c r="A517" s="223"/>
      <c r="B517" s="223"/>
      <c r="C517" s="223"/>
      <c r="D517" s="224"/>
      <c r="E517" s="224"/>
      <c r="F517" s="269"/>
      <c r="G517" s="409"/>
      <c r="H517" s="270"/>
      <c r="I517" s="100">
        <v>2</v>
      </c>
      <c r="J517" s="15" t="s">
        <v>822</v>
      </c>
      <c r="K517" s="247"/>
      <c r="L517" s="247"/>
      <c r="M517" s="247"/>
      <c r="N517" s="257"/>
      <c r="O517" s="226"/>
      <c r="P517" s="226"/>
      <c r="Q517" s="363"/>
      <c r="R517" s="363"/>
      <c r="S517" s="226"/>
      <c r="T517" s="226"/>
      <c r="U517" s="226"/>
      <c r="V517" s="226"/>
      <c r="W517" s="226"/>
      <c r="X517" s="226"/>
      <c r="Y517" s="226"/>
    </row>
    <row r="518" spans="1:25" ht="20.25" customHeight="1">
      <c r="A518" s="223"/>
      <c r="B518" s="223"/>
      <c r="C518" s="223"/>
      <c r="D518" s="224"/>
      <c r="E518" s="224"/>
      <c r="F518" s="269"/>
      <c r="G518" s="409"/>
      <c r="H518" s="270"/>
      <c r="I518" s="100">
        <v>3</v>
      </c>
      <c r="J518" s="15" t="s">
        <v>823</v>
      </c>
      <c r="K518" s="247"/>
      <c r="L518" s="247"/>
      <c r="M518" s="247"/>
      <c r="N518" s="257"/>
      <c r="O518" s="226"/>
      <c r="P518" s="226"/>
      <c r="Q518" s="363"/>
      <c r="R518" s="363"/>
      <c r="S518" s="226"/>
      <c r="T518" s="226"/>
      <c r="U518" s="226"/>
      <c r="V518" s="226"/>
      <c r="W518" s="226"/>
      <c r="X518" s="226"/>
      <c r="Y518" s="226"/>
    </row>
    <row r="519" spans="1:25" ht="20.25" customHeight="1">
      <c r="A519" s="223"/>
      <c r="B519" s="223"/>
      <c r="C519" s="223"/>
      <c r="D519" s="224"/>
      <c r="E519" s="224"/>
      <c r="F519" s="269"/>
      <c r="G519" s="409"/>
      <c r="H519" s="270"/>
      <c r="I519" s="100">
        <v>4</v>
      </c>
      <c r="J519" s="15" t="s">
        <v>824</v>
      </c>
      <c r="K519" s="247"/>
      <c r="L519" s="247"/>
      <c r="M519" s="247"/>
      <c r="N519" s="257"/>
      <c r="O519" s="226"/>
      <c r="P519" s="226"/>
      <c r="Q519" s="363"/>
      <c r="R519" s="363"/>
      <c r="S519" s="226"/>
      <c r="T519" s="226"/>
      <c r="U519" s="226"/>
      <c r="V519" s="226"/>
      <c r="W519" s="226"/>
      <c r="X519" s="226"/>
      <c r="Y519" s="226"/>
    </row>
    <row r="520" spans="1:25" ht="20.25" customHeight="1">
      <c r="A520" s="223"/>
      <c r="B520" s="223"/>
      <c r="C520" s="223"/>
      <c r="D520" s="224"/>
      <c r="E520" s="224"/>
      <c r="F520" s="269"/>
      <c r="G520" s="409"/>
      <c r="H520" s="270"/>
      <c r="I520" s="100">
        <v>77</v>
      </c>
      <c r="J520" s="15" t="s">
        <v>155</v>
      </c>
      <c r="K520" s="247"/>
      <c r="L520" s="247"/>
      <c r="M520" s="247"/>
      <c r="N520" s="301"/>
      <c r="O520" s="227"/>
      <c r="P520" s="227"/>
      <c r="Q520" s="364"/>
      <c r="R520" s="364"/>
      <c r="S520" s="227"/>
      <c r="T520" s="227"/>
      <c r="U520" s="227"/>
      <c r="V520" s="227"/>
      <c r="W520" s="227"/>
      <c r="X520" s="227"/>
      <c r="Y520" s="227"/>
    </row>
    <row r="521" spans="1:25" ht="20.25" customHeight="1">
      <c r="A521" s="228"/>
      <c r="B521" s="228"/>
      <c r="C521" s="228"/>
      <c r="D521" s="232">
        <v>43</v>
      </c>
      <c r="E521" s="232" t="s">
        <v>825</v>
      </c>
      <c r="F521" s="228"/>
      <c r="G521" s="640" t="s">
        <v>826</v>
      </c>
      <c r="H521" s="248" t="s">
        <v>812</v>
      </c>
      <c r="I521" s="100">
        <v>1</v>
      </c>
      <c r="J521" s="15" t="s">
        <v>119</v>
      </c>
      <c r="K521" s="228" t="s">
        <v>46</v>
      </c>
      <c r="L521" s="228">
        <v>1</v>
      </c>
      <c r="M521" s="228"/>
      <c r="N521" s="228" t="s">
        <v>50</v>
      </c>
      <c r="O521" s="228" t="s">
        <v>51</v>
      </c>
      <c r="P521" s="228" t="s">
        <v>45</v>
      </c>
      <c r="Q521" s="561"/>
      <c r="R521" s="561"/>
      <c r="S521" s="228"/>
      <c r="T521" s="93"/>
      <c r="U521" s="225"/>
      <c r="V521" s="225"/>
      <c r="W521" s="225"/>
      <c r="X521" s="225"/>
      <c r="Y521" s="225"/>
    </row>
    <row r="522" spans="1:25" ht="20.25" customHeight="1">
      <c r="A522" s="229"/>
      <c r="B522" s="229"/>
      <c r="C522" s="229"/>
      <c r="D522" s="233"/>
      <c r="E522" s="233"/>
      <c r="F522" s="229"/>
      <c r="G522" s="641"/>
      <c r="H522" s="249"/>
      <c r="I522" s="100">
        <v>2</v>
      </c>
      <c r="J522" s="15" t="s">
        <v>120</v>
      </c>
      <c r="K522" s="229"/>
      <c r="L522" s="229"/>
      <c r="M522" s="229"/>
      <c r="N522" s="229"/>
      <c r="O522" s="229"/>
      <c r="P522" s="229"/>
      <c r="Q522" s="562"/>
      <c r="R522" s="562"/>
      <c r="S522" s="229"/>
      <c r="T522" s="93"/>
      <c r="U522" s="226"/>
      <c r="V522" s="226"/>
      <c r="W522" s="226"/>
      <c r="X522" s="226"/>
      <c r="Y522" s="226"/>
    </row>
    <row r="523" spans="1:25" ht="20.25" customHeight="1">
      <c r="A523" s="230"/>
      <c r="B523" s="230"/>
      <c r="C523" s="230"/>
      <c r="D523" s="234"/>
      <c r="E523" s="234"/>
      <c r="F523" s="230"/>
      <c r="G523" s="642"/>
      <c r="H523" s="250"/>
      <c r="I523" s="100">
        <v>77</v>
      </c>
      <c r="J523" s="15" t="s">
        <v>155</v>
      </c>
      <c r="K523" s="230"/>
      <c r="L523" s="230"/>
      <c r="M523" s="230"/>
      <c r="N523" s="230"/>
      <c r="O523" s="230"/>
      <c r="P523" s="230"/>
      <c r="Q523" s="563"/>
      <c r="R523" s="563"/>
      <c r="S523" s="230"/>
      <c r="T523" s="93"/>
      <c r="U523" s="227"/>
      <c r="V523" s="227"/>
      <c r="W523" s="227"/>
      <c r="X523" s="227"/>
      <c r="Y523" s="227"/>
    </row>
    <row r="524" spans="1:25" ht="42">
      <c r="D524" s="169">
        <v>44</v>
      </c>
      <c r="E524" s="170" t="s">
        <v>827</v>
      </c>
      <c r="F524" s="46" t="s">
        <v>477</v>
      </c>
      <c r="G524" s="15" t="s">
        <v>828</v>
      </c>
      <c r="K524" s="101" t="s">
        <v>46</v>
      </c>
      <c r="L524" s="101">
        <v>1</v>
      </c>
      <c r="N524" s="66" t="s">
        <v>44</v>
      </c>
      <c r="O524" s="12"/>
      <c r="P524" s="12"/>
      <c r="Q524" s="13"/>
      <c r="R524" s="14"/>
      <c r="S524" s="12"/>
      <c r="T524" s="12" t="s">
        <v>8</v>
      </c>
      <c r="U524" s="12"/>
      <c r="V524" s="12"/>
      <c r="W524" s="12"/>
      <c r="X524" s="12"/>
      <c r="Y524" s="12"/>
    </row>
    <row r="525" spans="1:25" ht="18.75" customHeight="1">
      <c r="A525" s="223" t="s">
        <v>829</v>
      </c>
      <c r="B525" s="223" t="s">
        <v>830</v>
      </c>
      <c r="C525" s="223" t="s">
        <v>129</v>
      </c>
      <c r="D525" s="224">
        <v>44</v>
      </c>
      <c r="E525" s="224" t="s">
        <v>831</v>
      </c>
      <c r="F525" s="269" t="s">
        <v>477</v>
      </c>
      <c r="G525" s="389" t="s">
        <v>832</v>
      </c>
      <c r="H525" s="228"/>
      <c r="I525" s="100">
        <v>1</v>
      </c>
      <c r="J525" s="15" t="s">
        <v>540</v>
      </c>
      <c r="K525" s="228" t="s">
        <v>46</v>
      </c>
      <c r="L525" s="228">
        <v>1</v>
      </c>
      <c r="M525" s="228"/>
      <c r="N525" s="228" t="s">
        <v>50</v>
      </c>
      <c r="O525" s="228" t="s">
        <v>51</v>
      </c>
      <c r="P525" s="228" t="s">
        <v>45</v>
      </c>
      <c r="Q525" s="232"/>
      <c r="R525" s="232"/>
      <c r="S525" s="228"/>
      <c r="T525" s="228"/>
      <c r="U525" s="225"/>
      <c r="V525" s="225"/>
      <c r="W525" s="225"/>
      <c r="X525" s="225"/>
      <c r="Y525" s="225"/>
    </row>
    <row r="526" spans="1:25" ht="15.5">
      <c r="A526" s="223"/>
      <c r="B526" s="223"/>
      <c r="C526" s="223"/>
      <c r="D526" s="224"/>
      <c r="E526" s="224"/>
      <c r="F526" s="269"/>
      <c r="G526" s="390"/>
      <c r="H526" s="229"/>
      <c r="I526" s="100">
        <v>2</v>
      </c>
      <c r="J526" s="15" t="s">
        <v>541</v>
      </c>
      <c r="K526" s="229"/>
      <c r="L526" s="229"/>
      <c r="M526" s="229"/>
      <c r="N526" s="229"/>
      <c r="O526" s="229"/>
      <c r="P526" s="229"/>
      <c r="Q526" s="233"/>
      <c r="R526" s="233"/>
      <c r="S526" s="229"/>
      <c r="T526" s="229"/>
      <c r="U526" s="226"/>
      <c r="V526" s="226"/>
      <c r="W526" s="226"/>
      <c r="X526" s="226"/>
      <c r="Y526" s="226"/>
    </row>
    <row r="527" spans="1:25" ht="15.5">
      <c r="A527" s="223"/>
      <c r="B527" s="223"/>
      <c r="C527" s="223"/>
      <c r="D527" s="224"/>
      <c r="E527" s="224"/>
      <c r="F527" s="269"/>
      <c r="G527" s="391"/>
      <c r="H527" s="230"/>
      <c r="I527" s="100">
        <v>77</v>
      </c>
      <c r="J527" s="15" t="s">
        <v>155</v>
      </c>
      <c r="K527" s="230"/>
      <c r="L527" s="230"/>
      <c r="M527" s="230"/>
      <c r="N527" s="230"/>
      <c r="O527" s="230"/>
      <c r="P527" s="230"/>
      <c r="Q527" s="234"/>
      <c r="R527" s="234"/>
      <c r="S527" s="230"/>
      <c r="T527" s="230"/>
      <c r="U527" s="227"/>
      <c r="V527" s="227"/>
      <c r="W527" s="227"/>
      <c r="X527" s="227"/>
      <c r="Y527" s="227"/>
    </row>
    <row r="528" spans="1:25" ht="14">
      <c r="A528" s="223" t="s">
        <v>833</v>
      </c>
      <c r="B528" s="223" t="s">
        <v>834</v>
      </c>
      <c r="C528" s="223" t="s">
        <v>129</v>
      </c>
      <c r="D528" s="224">
        <v>45</v>
      </c>
      <c r="E528" s="224" t="s">
        <v>835</v>
      </c>
      <c r="F528" s="269" t="s">
        <v>477</v>
      </c>
      <c r="G528" s="287" t="s">
        <v>836</v>
      </c>
      <c r="H528" s="288"/>
      <c r="I528" s="102">
        <v>1</v>
      </c>
      <c r="J528" s="44" t="s">
        <v>837</v>
      </c>
      <c r="K528" s="228" t="s">
        <v>835</v>
      </c>
      <c r="L528" s="228">
        <v>1</v>
      </c>
      <c r="M528" s="228" t="s">
        <v>838</v>
      </c>
      <c r="N528" s="228" t="s">
        <v>161</v>
      </c>
      <c r="O528" s="228" t="s">
        <v>51</v>
      </c>
      <c r="P528" s="228" t="s">
        <v>45</v>
      </c>
      <c r="Q528" s="232"/>
      <c r="R528" s="232"/>
      <c r="S528" s="228"/>
      <c r="T528" s="97"/>
      <c r="U528" s="225"/>
      <c r="V528" s="225"/>
      <c r="W528" s="225"/>
      <c r="X528" s="225"/>
      <c r="Y528" s="225"/>
    </row>
    <row r="529" spans="1:25" ht="14">
      <c r="A529" s="223"/>
      <c r="B529" s="223"/>
      <c r="C529" s="223"/>
      <c r="D529" s="224"/>
      <c r="E529" s="224"/>
      <c r="F529" s="269"/>
      <c r="G529" s="287"/>
      <c r="H529" s="288"/>
      <c r="I529" s="102">
        <v>2</v>
      </c>
      <c r="J529" s="44" t="s">
        <v>839</v>
      </c>
      <c r="K529" s="229"/>
      <c r="L529" s="229"/>
      <c r="M529" s="229"/>
      <c r="N529" s="229"/>
      <c r="O529" s="229"/>
      <c r="P529" s="229"/>
      <c r="Q529" s="233"/>
      <c r="R529" s="233"/>
      <c r="S529" s="229"/>
      <c r="T529" s="97"/>
      <c r="U529" s="226"/>
      <c r="V529" s="226"/>
      <c r="W529" s="226"/>
      <c r="X529" s="226"/>
      <c r="Y529" s="226"/>
    </row>
    <row r="530" spans="1:25" ht="14">
      <c r="A530" s="223"/>
      <c r="B530" s="223"/>
      <c r="C530" s="223"/>
      <c r="D530" s="224"/>
      <c r="E530" s="224"/>
      <c r="F530" s="269"/>
      <c r="G530" s="287"/>
      <c r="H530" s="288"/>
      <c r="I530" s="102">
        <v>3</v>
      </c>
      <c r="J530" s="44" t="s">
        <v>840</v>
      </c>
      <c r="K530" s="229"/>
      <c r="L530" s="229"/>
      <c r="M530" s="229"/>
      <c r="N530" s="229"/>
      <c r="O530" s="229"/>
      <c r="P530" s="229"/>
      <c r="Q530" s="233"/>
      <c r="R530" s="233"/>
      <c r="S530" s="229"/>
      <c r="T530" s="97"/>
      <c r="U530" s="226"/>
      <c r="V530" s="226"/>
      <c r="W530" s="226"/>
      <c r="X530" s="226"/>
      <c r="Y530" s="226"/>
    </row>
    <row r="531" spans="1:25" ht="14">
      <c r="A531" s="223"/>
      <c r="B531" s="223"/>
      <c r="C531" s="223"/>
      <c r="D531" s="224"/>
      <c r="E531" s="224"/>
      <c r="F531" s="269"/>
      <c r="G531" s="287"/>
      <c r="H531" s="288"/>
      <c r="I531" s="102">
        <v>4</v>
      </c>
      <c r="J531" s="44" t="s">
        <v>841</v>
      </c>
      <c r="K531" s="229"/>
      <c r="L531" s="229"/>
      <c r="M531" s="229"/>
      <c r="N531" s="229"/>
      <c r="O531" s="229"/>
      <c r="P531" s="229"/>
      <c r="Q531" s="233"/>
      <c r="R531" s="233"/>
      <c r="S531" s="229"/>
      <c r="T531" s="97"/>
      <c r="U531" s="226"/>
      <c r="V531" s="226"/>
      <c r="W531" s="226"/>
      <c r="X531" s="226"/>
      <c r="Y531" s="226"/>
    </row>
    <row r="532" spans="1:25" ht="14">
      <c r="A532" s="223"/>
      <c r="B532" s="223"/>
      <c r="C532" s="223"/>
      <c r="D532" s="224"/>
      <c r="E532" s="224"/>
      <c r="F532" s="269"/>
      <c r="G532" s="287"/>
      <c r="H532" s="288"/>
      <c r="I532" s="102">
        <v>5</v>
      </c>
      <c r="J532" s="44" t="s">
        <v>842</v>
      </c>
      <c r="K532" s="229"/>
      <c r="L532" s="229"/>
      <c r="M532" s="229"/>
      <c r="N532" s="229"/>
      <c r="O532" s="229"/>
      <c r="P532" s="229"/>
      <c r="Q532" s="233"/>
      <c r="R532" s="233"/>
      <c r="S532" s="229"/>
      <c r="T532" s="97"/>
      <c r="U532" s="226"/>
      <c r="V532" s="226"/>
      <c r="W532" s="226"/>
      <c r="X532" s="226"/>
      <c r="Y532" s="226"/>
    </row>
    <row r="533" spans="1:25" ht="14">
      <c r="A533" s="223"/>
      <c r="B533" s="223"/>
      <c r="C533" s="223"/>
      <c r="D533" s="224"/>
      <c r="E533" s="224"/>
      <c r="F533" s="269"/>
      <c r="G533" s="287"/>
      <c r="H533" s="288"/>
      <c r="I533" s="102">
        <v>6</v>
      </c>
      <c r="J533" s="44" t="s">
        <v>843</v>
      </c>
      <c r="K533" s="229"/>
      <c r="L533" s="229"/>
      <c r="M533" s="229"/>
      <c r="N533" s="229"/>
      <c r="O533" s="229"/>
      <c r="P533" s="229"/>
      <c r="Q533" s="233"/>
      <c r="R533" s="233"/>
      <c r="S533" s="229"/>
      <c r="T533" s="97"/>
      <c r="U533" s="226"/>
      <c r="V533" s="226"/>
      <c r="W533" s="226"/>
      <c r="X533" s="226"/>
      <c r="Y533" s="226"/>
    </row>
    <row r="534" spans="1:25" ht="18" customHeight="1">
      <c r="A534" s="223"/>
      <c r="B534" s="223"/>
      <c r="C534" s="223"/>
      <c r="D534" s="224"/>
      <c r="E534" s="224"/>
      <c r="F534" s="269"/>
      <c r="G534" s="287"/>
      <c r="H534" s="288"/>
      <c r="I534" s="102">
        <v>77</v>
      </c>
      <c r="J534" s="44" t="s">
        <v>844</v>
      </c>
      <c r="K534" s="230"/>
      <c r="L534" s="230"/>
      <c r="M534" s="230"/>
      <c r="N534" s="230"/>
      <c r="O534" s="230"/>
      <c r="P534" s="230"/>
      <c r="Q534" s="234"/>
      <c r="R534" s="234"/>
      <c r="S534" s="230"/>
      <c r="T534" s="97"/>
      <c r="U534" s="227"/>
      <c r="V534" s="227"/>
      <c r="W534" s="227"/>
      <c r="X534" s="227"/>
      <c r="Y534" s="227"/>
    </row>
    <row r="535" spans="1:25" ht="18" customHeight="1">
      <c r="A535" s="223" t="s">
        <v>829</v>
      </c>
      <c r="B535" s="223" t="s">
        <v>830</v>
      </c>
      <c r="C535" s="223" t="s">
        <v>129</v>
      </c>
      <c r="D535" s="224">
        <v>45</v>
      </c>
      <c r="E535" s="224" t="s">
        <v>845</v>
      </c>
      <c r="F535" s="269" t="s">
        <v>477</v>
      </c>
      <c r="G535" s="354" t="s">
        <v>846</v>
      </c>
      <c r="H535" s="270"/>
      <c r="I535" s="100">
        <v>1</v>
      </c>
      <c r="J535" s="15" t="s">
        <v>540</v>
      </c>
      <c r="K535" s="247" t="s">
        <v>46</v>
      </c>
      <c r="L535" s="247">
        <v>1</v>
      </c>
      <c r="M535" s="247"/>
      <c r="N535" s="256" t="s">
        <v>50</v>
      </c>
      <c r="O535" s="295" t="s">
        <v>51</v>
      </c>
      <c r="P535" s="295" t="s">
        <v>45</v>
      </c>
      <c r="Q535" s="406"/>
      <c r="R535" s="406"/>
      <c r="S535" s="295"/>
      <c r="T535" s="295"/>
      <c r="U535" s="295"/>
      <c r="V535" s="295"/>
      <c r="W535" s="295"/>
      <c r="X535" s="295"/>
      <c r="Y535" s="295"/>
    </row>
    <row r="536" spans="1:25" ht="20.25" customHeight="1">
      <c r="A536" s="223"/>
      <c r="B536" s="223"/>
      <c r="C536" s="223"/>
      <c r="D536" s="224"/>
      <c r="E536" s="224"/>
      <c r="F536" s="269"/>
      <c r="G536" s="354"/>
      <c r="H536" s="270"/>
      <c r="I536" s="100">
        <v>2</v>
      </c>
      <c r="J536" s="15" t="s">
        <v>541</v>
      </c>
      <c r="K536" s="247"/>
      <c r="L536" s="247"/>
      <c r="M536" s="247"/>
      <c r="N536" s="257"/>
      <c r="O536" s="296"/>
      <c r="P536" s="296"/>
      <c r="Q536" s="407"/>
      <c r="R536" s="407"/>
      <c r="S536" s="296"/>
      <c r="T536" s="296"/>
      <c r="U536" s="296"/>
      <c r="V536" s="296"/>
      <c r="W536" s="296"/>
      <c r="X536" s="296"/>
      <c r="Y536" s="296"/>
    </row>
    <row r="537" spans="1:25" ht="20.25" customHeight="1">
      <c r="A537" s="223"/>
      <c r="B537" s="223"/>
      <c r="C537" s="223"/>
      <c r="D537" s="224"/>
      <c r="E537" s="224"/>
      <c r="F537" s="269"/>
      <c r="G537" s="354"/>
      <c r="H537" s="270"/>
      <c r="I537" s="100">
        <v>77</v>
      </c>
      <c r="J537" s="205" t="s">
        <v>155</v>
      </c>
      <c r="K537" s="247"/>
      <c r="L537" s="247"/>
      <c r="M537" s="247"/>
      <c r="N537" s="301"/>
      <c r="O537" s="297"/>
      <c r="P537" s="297"/>
      <c r="Q537" s="408"/>
      <c r="R537" s="408"/>
      <c r="S537" s="297"/>
      <c r="T537" s="297"/>
      <c r="U537" s="297"/>
      <c r="V537" s="297"/>
      <c r="W537" s="297"/>
      <c r="X537" s="297"/>
      <c r="Y537" s="297"/>
    </row>
    <row r="538" spans="1:25" ht="18.75" customHeight="1">
      <c r="A538" s="223" t="s">
        <v>833</v>
      </c>
      <c r="B538" s="223" t="s">
        <v>834</v>
      </c>
      <c r="C538" s="223" t="s">
        <v>129</v>
      </c>
      <c r="D538" s="224">
        <v>46</v>
      </c>
      <c r="E538" s="224" t="s">
        <v>847</v>
      </c>
      <c r="F538" s="269" t="s">
        <v>477</v>
      </c>
      <c r="G538" s="287" t="s">
        <v>848</v>
      </c>
      <c r="H538" s="288"/>
      <c r="I538" s="102">
        <v>1</v>
      </c>
      <c r="J538" s="44" t="s">
        <v>837</v>
      </c>
      <c r="K538" s="247" t="s">
        <v>845</v>
      </c>
      <c r="L538" s="247">
        <v>1</v>
      </c>
      <c r="M538" s="247" t="s">
        <v>849</v>
      </c>
      <c r="N538" s="256" t="s">
        <v>161</v>
      </c>
      <c r="O538" s="225" t="s">
        <v>51</v>
      </c>
      <c r="P538" s="225" t="s">
        <v>45</v>
      </c>
      <c r="Q538" s="225"/>
      <c r="R538" s="225"/>
      <c r="S538" s="225"/>
      <c r="T538" s="225"/>
      <c r="U538" s="225"/>
      <c r="V538" s="225"/>
      <c r="W538" s="225"/>
      <c r="X538" s="225"/>
      <c r="Y538" s="225"/>
    </row>
    <row r="539" spans="1:25" ht="18" customHeight="1">
      <c r="A539" s="223"/>
      <c r="B539" s="223"/>
      <c r="C539" s="223"/>
      <c r="D539" s="224"/>
      <c r="E539" s="224"/>
      <c r="F539" s="269"/>
      <c r="G539" s="287"/>
      <c r="H539" s="288"/>
      <c r="I539" s="102">
        <v>2</v>
      </c>
      <c r="J539" s="44" t="s">
        <v>839</v>
      </c>
      <c r="K539" s="247"/>
      <c r="L539" s="247"/>
      <c r="M539" s="247"/>
      <c r="N539" s="257"/>
      <c r="O539" s="226"/>
      <c r="P539" s="226"/>
      <c r="Q539" s="226"/>
      <c r="R539" s="226"/>
      <c r="S539" s="226"/>
      <c r="T539" s="226"/>
      <c r="U539" s="226"/>
      <c r="V539" s="226"/>
      <c r="W539" s="226"/>
      <c r="X539" s="226"/>
      <c r="Y539" s="226"/>
    </row>
    <row r="540" spans="1:25" ht="18" customHeight="1">
      <c r="A540" s="223"/>
      <c r="B540" s="223"/>
      <c r="C540" s="223"/>
      <c r="D540" s="224"/>
      <c r="E540" s="224"/>
      <c r="F540" s="269"/>
      <c r="G540" s="287"/>
      <c r="H540" s="288"/>
      <c r="I540" s="102">
        <v>3</v>
      </c>
      <c r="J540" s="44" t="s">
        <v>840</v>
      </c>
      <c r="K540" s="247"/>
      <c r="L540" s="247"/>
      <c r="M540" s="247"/>
      <c r="N540" s="257"/>
      <c r="O540" s="226"/>
      <c r="P540" s="226"/>
      <c r="Q540" s="226"/>
      <c r="R540" s="226"/>
      <c r="S540" s="226"/>
      <c r="T540" s="226"/>
      <c r="U540" s="226"/>
      <c r="V540" s="226"/>
      <c r="W540" s="226"/>
      <c r="X540" s="226"/>
      <c r="Y540" s="226"/>
    </row>
    <row r="541" spans="1:25" ht="18" customHeight="1">
      <c r="A541" s="223"/>
      <c r="B541" s="223"/>
      <c r="C541" s="223"/>
      <c r="D541" s="224"/>
      <c r="E541" s="224"/>
      <c r="F541" s="269"/>
      <c r="G541" s="287"/>
      <c r="H541" s="288"/>
      <c r="I541" s="102">
        <v>4</v>
      </c>
      <c r="J541" s="44" t="s">
        <v>841</v>
      </c>
      <c r="K541" s="247"/>
      <c r="L541" s="247"/>
      <c r="M541" s="247"/>
      <c r="N541" s="257"/>
      <c r="O541" s="226"/>
      <c r="P541" s="226"/>
      <c r="Q541" s="226"/>
      <c r="R541" s="226"/>
      <c r="S541" s="226"/>
      <c r="T541" s="226"/>
      <c r="U541" s="226"/>
      <c r="V541" s="226"/>
      <c r="W541" s="226"/>
      <c r="X541" s="226"/>
      <c r="Y541" s="226"/>
    </row>
    <row r="542" spans="1:25" ht="18" customHeight="1">
      <c r="A542" s="223"/>
      <c r="B542" s="223"/>
      <c r="C542" s="223"/>
      <c r="D542" s="224"/>
      <c r="E542" s="224"/>
      <c r="F542" s="269"/>
      <c r="G542" s="287"/>
      <c r="H542" s="288"/>
      <c r="I542" s="102">
        <v>5</v>
      </c>
      <c r="J542" s="44" t="s">
        <v>842</v>
      </c>
      <c r="K542" s="247"/>
      <c r="L542" s="247"/>
      <c r="M542" s="247"/>
      <c r="N542" s="257"/>
      <c r="O542" s="226"/>
      <c r="P542" s="226"/>
      <c r="Q542" s="226"/>
      <c r="R542" s="226"/>
      <c r="S542" s="226"/>
      <c r="T542" s="226"/>
      <c r="U542" s="226"/>
      <c r="V542" s="226"/>
      <c r="W542" s="226"/>
      <c r="X542" s="226"/>
      <c r="Y542" s="226"/>
    </row>
    <row r="543" spans="1:25" ht="18" customHeight="1">
      <c r="A543" s="223"/>
      <c r="B543" s="223"/>
      <c r="C543" s="223"/>
      <c r="D543" s="224"/>
      <c r="E543" s="224"/>
      <c r="F543" s="269"/>
      <c r="G543" s="287"/>
      <c r="H543" s="288"/>
      <c r="I543" s="102">
        <v>6</v>
      </c>
      <c r="J543" s="44" t="s">
        <v>843</v>
      </c>
      <c r="K543" s="247"/>
      <c r="L543" s="247"/>
      <c r="M543" s="247"/>
      <c r="N543" s="257"/>
      <c r="O543" s="226"/>
      <c r="P543" s="226"/>
      <c r="Q543" s="226"/>
      <c r="R543" s="226"/>
      <c r="S543" s="226"/>
      <c r="T543" s="226"/>
      <c r="U543" s="226"/>
      <c r="V543" s="226"/>
      <c r="W543" s="226"/>
      <c r="X543" s="226"/>
      <c r="Y543" s="226"/>
    </row>
    <row r="544" spans="1:25" ht="18" customHeight="1">
      <c r="A544" s="223"/>
      <c r="B544" s="223"/>
      <c r="C544" s="223"/>
      <c r="D544" s="224"/>
      <c r="E544" s="224"/>
      <c r="F544" s="269"/>
      <c r="G544" s="404"/>
      <c r="H544" s="405"/>
      <c r="I544" s="102">
        <v>77</v>
      </c>
      <c r="J544" s="44" t="s">
        <v>844</v>
      </c>
      <c r="K544" s="247"/>
      <c r="L544" s="247"/>
      <c r="M544" s="247"/>
      <c r="N544" s="301"/>
      <c r="O544" s="227"/>
      <c r="P544" s="227"/>
      <c r="Q544" s="227"/>
      <c r="R544" s="227"/>
      <c r="S544" s="227"/>
      <c r="T544" s="227"/>
      <c r="U544" s="227"/>
      <c r="V544" s="227"/>
      <c r="W544" s="227"/>
      <c r="X544" s="227"/>
      <c r="Y544" s="227"/>
    </row>
    <row r="545" spans="1:25" ht="18.75" customHeight="1">
      <c r="A545" s="223" t="s">
        <v>850</v>
      </c>
      <c r="B545" s="223" t="s">
        <v>851</v>
      </c>
      <c r="C545" s="223" t="s">
        <v>129</v>
      </c>
      <c r="D545" s="224">
        <v>46</v>
      </c>
      <c r="E545" s="224" t="s">
        <v>852</v>
      </c>
      <c r="F545" s="397" t="s">
        <v>477</v>
      </c>
      <c r="G545" s="287" t="s">
        <v>853</v>
      </c>
      <c r="H545" s="287"/>
      <c r="I545" s="142">
        <v>1</v>
      </c>
      <c r="J545" s="44" t="s">
        <v>854</v>
      </c>
      <c r="K545" s="247" t="s">
        <v>46</v>
      </c>
      <c r="L545" s="247">
        <v>1</v>
      </c>
      <c r="M545" s="247"/>
      <c r="N545" s="256" t="s">
        <v>161</v>
      </c>
      <c r="O545" s="225" t="s">
        <v>51</v>
      </c>
      <c r="P545" s="225" t="s">
        <v>855</v>
      </c>
      <c r="Q545" s="362"/>
      <c r="R545" s="362"/>
      <c r="S545" s="225"/>
      <c r="T545" s="225"/>
      <c r="U545" s="225"/>
      <c r="V545" s="225"/>
      <c r="W545" s="225"/>
      <c r="X545" s="225"/>
      <c r="Y545" s="225"/>
    </row>
    <row r="546" spans="1:25" ht="18" customHeight="1">
      <c r="A546" s="223"/>
      <c r="B546" s="223"/>
      <c r="C546" s="223"/>
      <c r="D546" s="224"/>
      <c r="E546" s="224"/>
      <c r="F546" s="397"/>
      <c r="G546" s="287"/>
      <c r="H546" s="287"/>
      <c r="I546" s="142">
        <v>2</v>
      </c>
      <c r="J546" s="44" t="s">
        <v>856</v>
      </c>
      <c r="K546" s="247"/>
      <c r="L546" s="247"/>
      <c r="M546" s="247"/>
      <c r="N546" s="257"/>
      <c r="O546" s="226"/>
      <c r="P546" s="226"/>
      <c r="Q546" s="363"/>
      <c r="R546" s="363"/>
      <c r="S546" s="226"/>
      <c r="T546" s="226"/>
      <c r="U546" s="226"/>
      <c r="V546" s="226"/>
      <c r="W546" s="226"/>
      <c r="X546" s="226"/>
      <c r="Y546" s="226"/>
    </row>
    <row r="547" spans="1:25" ht="18" customHeight="1">
      <c r="A547" s="223"/>
      <c r="B547" s="223"/>
      <c r="C547" s="223"/>
      <c r="D547" s="224"/>
      <c r="E547" s="224"/>
      <c r="F547" s="397"/>
      <c r="G547" s="287"/>
      <c r="H547" s="287"/>
      <c r="I547" s="142">
        <v>3</v>
      </c>
      <c r="J547" s="44" t="s">
        <v>842</v>
      </c>
      <c r="K547" s="247"/>
      <c r="L547" s="247"/>
      <c r="M547" s="247"/>
      <c r="N547" s="257"/>
      <c r="O547" s="226"/>
      <c r="P547" s="226"/>
      <c r="Q547" s="363"/>
      <c r="R547" s="363"/>
      <c r="S547" s="226"/>
      <c r="T547" s="226"/>
      <c r="U547" s="226"/>
      <c r="V547" s="226"/>
      <c r="W547" s="226"/>
      <c r="X547" s="226"/>
      <c r="Y547" s="226"/>
    </row>
    <row r="548" spans="1:25" ht="18" customHeight="1">
      <c r="A548" s="223"/>
      <c r="B548" s="223"/>
      <c r="C548" s="223"/>
      <c r="D548" s="224"/>
      <c r="E548" s="224"/>
      <c r="F548" s="397"/>
      <c r="G548" s="287"/>
      <c r="H548" s="287"/>
      <c r="I548" s="142">
        <v>4</v>
      </c>
      <c r="J548" s="44" t="s">
        <v>857</v>
      </c>
      <c r="K548" s="247"/>
      <c r="L548" s="247"/>
      <c r="M548" s="247"/>
      <c r="N548" s="257"/>
      <c r="O548" s="226"/>
      <c r="P548" s="226"/>
      <c r="Q548" s="363"/>
      <c r="R548" s="363"/>
      <c r="S548" s="226"/>
      <c r="T548" s="226"/>
      <c r="U548" s="226"/>
      <c r="V548" s="226"/>
      <c r="W548" s="226"/>
      <c r="X548" s="226"/>
      <c r="Y548" s="226"/>
    </row>
    <row r="549" spans="1:25" ht="18" customHeight="1">
      <c r="A549" s="223"/>
      <c r="B549" s="223"/>
      <c r="C549" s="223"/>
      <c r="D549" s="224"/>
      <c r="E549" s="224"/>
      <c r="F549" s="397"/>
      <c r="G549" s="287"/>
      <c r="H549" s="287"/>
      <c r="I549" s="142">
        <v>5</v>
      </c>
      <c r="J549" s="44" t="s">
        <v>858</v>
      </c>
      <c r="K549" s="247"/>
      <c r="L549" s="247"/>
      <c r="M549" s="247"/>
      <c r="N549" s="257"/>
      <c r="O549" s="226"/>
      <c r="P549" s="226"/>
      <c r="Q549" s="363"/>
      <c r="R549" s="363"/>
      <c r="S549" s="226"/>
      <c r="T549" s="226"/>
      <c r="U549" s="226"/>
      <c r="V549" s="226"/>
      <c r="W549" s="226"/>
      <c r="X549" s="226"/>
      <c r="Y549" s="226"/>
    </row>
    <row r="550" spans="1:25" ht="18" customHeight="1">
      <c r="A550" s="223"/>
      <c r="B550" s="223"/>
      <c r="C550" s="223"/>
      <c r="D550" s="224"/>
      <c r="E550" s="224"/>
      <c r="F550" s="397"/>
      <c r="G550" s="287"/>
      <c r="H550" s="287"/>
      <c r="I550" s="142">
        <v>6</v>
      </c>
      <c r="J550" s="44" t="s">
        <v>287</v>
      </c>
      <c r="K550" s="247"/>
      <c r="L550" s="247"/>
      <c r="M550" s="247"/>
      <c r="N550" s="257"/>
      <c r="O550" s="226"/>
      <c r="P550" s="226"/>
      <c r="Q550" s="363"/>
      <c r="R550" s="363"/>
      <c r="S550" s="226"/>
      <c r="T550" s="226"/>
      <c r="U550" s="226"/>
      <c r="V550" s="226"/>
      <c r="W550" s="226"/>
      <c r="X550" s="226"/>
      <c r="Y550" s="226"/>
    </row>
    <row r="551" spans="1:25" ht="18" customHeight="1">
      <c r="A551" s="223"/>
      <c r="B551" s="223"/>
      <c r="C551" s="223"/>
      <c r="D551" s="224"/>
      <c r="E551" s="224"/>
      <c r="F551" s="397"/>
      <c r="G551" s="287"/>
      <c r="H551" s="287"/>
      <c r="I551" s="142">
        <v>77</v>
      </c>
      <c r="J551" s="44" t="s">
        <v>844</v>
      </c>
      <c r="K551" s="247"/>
      <c r="L551" s="247"/>
      <c r="M551" s="247"/>
      <c r="N551" s="301"/>
      <c r="O551" s="227"/>
      <c r="P551" s="227"/>
      <c r="Q551" s="364"/>
      <c r="R551" s="364"/>
      <c r="S551" s="227"/>
      <c r="T551" s="227"/>
      <c r="U551" s="227"/>
      <c r="V551" s="227"/>
      <c r="W551" s="227"/>
      <c r="X551" s="227"/>
      <c r="Y551" s="227"/>
    </row>
    <row r="552" spans="1:25" ht="18" customHeight="1">
      <c r="A552" s="223" t="s">
        <v>850</v>
      </c>
      <c r="B552" s="223" t="s">
        <v>851</v>
      </c>
      <c r="C552" s="228"/>
      <c r="D552" s="232">
        <v>47</v>
      </c>
      <c r="E552" s="232" t="s">
        <v>859</v>
      </c>
      <c r="F552" s="228"/>
      <c r="G552" s="534" t="s">
        <v>860</v>
      </c>
      <c r="H552" s="402"/>
      <c r="I552" s="102">
        <v>1</v>
      </c>
      <c r="J552" s="44" t="s">
        <v>854</v>
      </c>
      <c r="K552" s="228" t="s">
        <v>46</v>
      </c>
      <c r="L552" s="228">
        <v>1</v>
      </c>
      <c r="M552" s="228"/>
      <c r="N552" s="228" t="s">
        <v>161</v>
      </c>
      <c r="O552" s="228" t="s">
        <v>51</v>
      </c>
      <c r="P552" s="225" t="s">
        <v>855</v>
      </c>
      <c r="Q552" s="232"/>
      <c r="R552" s="232"/>
      <c r="S552" s="228"/>
      <c r="T552" s="18"/>
      <c r="U552" s="225"/>
      <c r="V552" s="225"/>
      <c r="W552" s="225"/>
      <c r="X552" s="225"/>
      <c r="Y552" s="225"/>
    </row>
    <row r="553" spans="1:25" ht="18" customHeight="1">
      <c r="A553" s="223"/>
      <c r="B553" s="223"/>
      <c r="C553" s="229"/>
      <c r="D553" s="233"/>
      <c r="E553" s="233"/>
      <c r="F553" s="229"/>
      <c r="G553" s="534"/>
      <c r="H553" s="402"/>
      <c r="I553" s="102">
        <v>2</v>
      </c>
      <c r="J553" s="44" t="s">
        <v>856</v>
      </c>
      <c r="K553" s="229"/>
      <c r="L553" s="229"/>
      <c r="M553" s="229"/>
      <c r="N553" s="229"/>
      <c r="O553" s="229"/>
      <c r="P553" s="226"/>
      <c r="Q553" s="233"/>
      <c r="R553" s="233"/>
      <c r="S553" s="229"/>
      <c r="T553" s="18"/>
      <c r="U553" s="226"/>
      <c r="V553" s="226"/>
      <c r="W553" s="226"/>
      <c r="X553" s="226"/>
      <c r="Y553" s="226"/>
    </row>
    <row r="554" spans="1:25" ht="18" customHeight="1">
      <c r="A554" s="223"/>
      <c r="B554" s="223"/>
      <c r="C554" s="229"/>
      <c r="D554" s="233"/>
      <c r="E554" s="233"/>
      <c r="F554" s="229"/>
      <c r="G554" s="534"/>
      <c r="H554" s="402"/>
      <c r="I554" s="102">
        <v>3</v>
      </c>
      <c r="J554" s="44" t="s">
        <v>842</v>
      </c>
      <c r="K554" s="229"/>
      <c r="L554" s="229"/>
      <c r="M554" s="229"/>
      <c r="N554" s="229"/>
      <c r="O554" s="229"/>
      <c r="P554" s="226"/>
      <c r="Q554" s="233"/>
      <c r="R554" s="233"/>
      <c r="S554" s="229"/>
      <c r="T554" s="18"/>
      <c r="U554" s="226"/>
      <c r="V554" s="226"/>
      <c r="W554" s="226"/>
      <c r="X554" s="226"/>
      <c r="Y554" s="226"/>
    </row>
    <row r="555" spans="1:25" ht="18" customHeight="1">
      <c r="A555" s="223"/>
      <c r="B555" s="223"/>
      <c r="C555" s="229"/>
      <c r="D555" s="233"/>
      <c r="E555" s="233"/>
      <c r="F555" s="229"/>
      <c r="G555" s="534"/>
      <c r="H555" s="402"/>
      <c r="I555" s="102">
        <v>4</v>
      </c>
      <c r="J555" s="44" t="s">
        <v>857</v>
      </c>
      <c r="K555" s="229"/>
      <c r="L555" s="229"/>
      <c r="M555" s="229"/>
      <c r="N555" s="229"/>
      <c r="O555" s="229"/>
      <c r="P555" s="226"/>
      <c r="Q555" s="233"/>
      <c r="R555" s="233"/>
      <c r="S555" s="229"/>
      <c r="T555" s="18"/>
      <c r="U555" s="226"/>
      <c r="V555" s="226"/>
      <c r="W555" s="226"/>
      <c r="X555" s="226"/>
      <c r="Y555" s="226"/>
    </row>
    <row r="556" spans="1:25" ht="18" customHeight="1">
      <c r="A556" s="223"/>
      <c r="B556" s="223"/>
      <c r="C556" s="229"/>
      <c r="D556" s="233"/>
      <c r="E556" s="233"/>
      <c r="F556" s="229"/>
      <c r="G556" s="534"/>
      <c r="H556" s="402"/>
      <c r="I556" s="102">
        <v>5</v>
      </c>
      <c r="J556" s="44" t="s">
        <v>858</v>
      </c>
      <c r="K556" s="229"/>
      <c r="L556" s="229"/>
      <c r="M556" s="229"/>
      <c r="N556" s="229"/>
      <c r="O556" s="229"/>
      <c r="P556" s="226"/>
      <c r="Q556" s="233"/>
      <c r="R556" s="233"/>
      <c r="S556" s="229"/>
      <c r="T556" s="18"/>
      <c r="U556" s="226"/>
      <c r="V556" s="226"/>
      <c r="W556" s="226"/>
      <c r="X556" s="226"/>
      <c r="Y556" s="226"/>
    </row>
    <row r="557" spans="1:25" ht="18" customHeight="1">
      <c r="A557" s="223"/>
      <c r="B557" s="223"/>
      <c r="C557" s="229"/>
      <c r="D557" s="233"/>
      <c r="E557" s="233"/>
      <c r="F557" s="229"/>
      <c r="G557" s="534"/>
      <c r="H557" s="402"/>
      <c r="I557" s="102">
        <v>6</v>
      </c>
      <c r="J557" s="44" t="s">
        <v>287</v>
      </c>
      <c r="K557" s="229"/>
      <c r="L557" s="229"/>
      <c r="M557" s="229"/>
      <c r="N557" s="229"/>
      <c r="O557" s="229"/>
      <c r="P557" s="226"/>
      <c r="Q557" s="233"/>
      <c r="R557" s="233"/>
      <c r="S557" s="229"/>
      <c r="T557" s="18"/>
      <c r="U557" s="226"/>
      <c r="V557" s="226"/>
      <c r="W557" s="226"/>
      <c r="X557" s="226"/>
      <c r="Y557" s="226"/>
    </row>
    <row r="558" spans="1:25" ht="18" customHeight="1">
      <c r="A558" s="223"/>
      <c r="B558" s="223"/>
      <c r="C558" s="230"/>
      <c r="D558" s="234"/>
      <c r="E558" s="234"/>
      <c r="F558" s="230"/>
      <c r="G558" s="535"/>
      <c r="H558" s="403"/>
      <c r="I558" s="102">
        <v>77</v>
      </c>
      <c r="J558" s="44" t="s">
        <v>844</v>
      </c>
      <c r="K558" s="230"/>
      <c r="L558" s="230"/>
      <c r="M558" s="230"/>
      <c r="N558" s="230"/>
      <c r="O558" s="230"/>
      <c r="P558" s="227"/>
      <c r="Q558" s="234"/>
      <c r="R558" s="234"/>
      <c r="S558" s="230"/>
      <c r="T558" s="18"/>
      <c r="U558" s="227"/>
      <c r="V558" s="227"/>
      <c r="W558" s="227"/>
      <c r="X558" s="227"/>
      <c r="Y558" s="227"/>
    </row>
    <row r="559" spans="1:25" ht="18.75" customHeight="1">
      <c r="A559" s="223" t="s">
        <v>861</v>
      </c>
      <c r="B559" s="223" t="s">
        <v>862</v>
      </c>
      <c r="C559" s="223" t="s">
        <v>129</v>
      </c>
      <c r="D559" s="224">
        <v>47</v>
      </c>
      <c r="E559" s="224" t="s">
        <v>863</v>
      </c>
      <c r="F559" s="269" t="s">
        <v>477</v>
      </c>
      <c r="G559" s="254" t="s">
        <v>864</v>
      </c>
      <c r="H559" s="270" t="s">
        <v>150</v>
      </c>
      <c r="I559" s="100">
        <v>1</v>
      </c>
      <c r="J559" s="15" t="s">
        <v>151</v>
      </c>
      <c r="K559" s="247" t="s">
        <v>46</v>
      </c>
      <c r="L559" s="247">
        <v>1</v>
      </c>
      <c r="M559" s="247"/>
      <c r="N559" s="256" t="s">
        <v>50</v>
      </c>
      <c r="O559" s="295" t="s">
        <v>51</v>
      </c>
      <c r="P559" s="295" t="s">
        <v>45</v>
      </c>
      <c r="Q559" s="295"/>
      <c r="R559" s="295"/>
      <c r="S559" s="295"/>
      <c r="T559" s="295"/>
      <c r="U559" s="295"/>
      <c r="V559" s="295"/>
      <c r="W559" s="295"/>
      <c r="X559" s="295"/>
      <c r="Y559" s="295"/>
    </row>
    <row r="560" spans="1:25" ht="20.25" customHeight="1">
      <c r="A560" s="223"/>
      <c r="B560" s="223"/>
      <c r="C560" s="223"/>
      <c r="D560" s="224"/>
      <c r="E560" s="224"/>
      <c r="F560" s="269"/>
      <c r="G560" s="254"/>
      <c r="H560" s="270"/>
      <c r="I560" s="100">
        <v>2</v>
      </c>
      <c r="J560" s="15" t="s">
        <v>152</v>
      </c>
      <c r="K560" s="247"/>
      <c r="L560" s="247"/>
      <c r="M560" s="247"/>
      <c r="N560" s="257"/>
      <c r="O560" s="296"/>
      <c r="P560" s="296"/>
      <c r="Q560" s="296"/>
      <c r="R560" s="296"/>
      <c r="S560" s="296"/>
      <c r="T560" s="296"/>
      <c r="U560" s="296"/>
      <c r="V560" s="296"/>
      <c r="W560" s="296"/>
      <c r="X560" s="296"/>
      <c r="Y560" s="296"/>
    </row>
    <row r="561" spans="1:25" ht="20.25" customHeight="1">
      <c r="A561" s="223"/>
      <c r="B561" s="223"/>
      <c r="C561" s="223"/>
      <c r="D561" s="224"/>
      <c r="E561" s="224"/>
      <c r="F561" s="269"/>
      <c r="G561" s="254"/>
      <c r="H561" s="270"/>
      <c r="I561" s="100">
        <v>3</v>
      </c>
      <c r="J561" s="15" t="s">
        <v>153</v>
      </c>
      <c r="K561" s="247"/>
      <c r="L561" s="247"/>
      <c r="M561" s="247"/>
      <c r="N561" s="257"/>
      <c r="O561" s="296"/>
      <c r="P561" s="296"/>
      <c r="Q561" s="296"/>
      <c r="R561" s="296"/>
      <c r="S561" s="296"/>
      <c r="T561" s="296"/>
      <c r="U561" s="296"/>
      <c r="V561" s="296"/>
      <c r="W561" s="296"/>
      <c r="X561" s="296"/>
      <c r="Y561" s="296"/>
    </row>
    <row r="562" spans="1:25" ht="20.25" customHeight="1">
      <c r="A562" s="223"/>
      <c r="B562" s="223"/>
      <c r="C562" s="223"/>
      <c r="D562" s="224"/>
      <c r="E562" s="224"/>
      <c r="F562" s="269"/>
      <c r="G562" s="254"/>
      <c r="H562" s="270"/>
      <c r="I562" s="100">
        <v>4</v>
      </c>
      <c r="J562" s="15" t="s">
        <v>154</v>
      </c>
      <c r="K562" s="247"/>
      <c r="L562" s="247"/>
      <c r="M562" s="247"/>
      <c r="N562" s="257"/>
      <c r="O562" s="296"/>
      <c r="P562" s="296"/>
      <c r="Q562" s="296"/>
      <c r="R562" s="296"/>
      <c r="S562" s="296"/>
      <c r="T562" s="296"/>
      <c r="U562" s="296"/>
      <c r="V562" s="296"/>
      <c r="W562" s="296"/>
      <c r="X562" s="296"/>
      <c r="Y562" s="296"/>
    </row>
    <row r="563" spans="1:25" ht="20.25" customHeight="1">
      <c r="A563" s="223"/>
      <c r="B563" s="223"/>
      <c r="C563" s="223"/>
      <c r="D563" s="224"/>
      <c r="E563" s="224"/>
      <c r="F563" s="269"/>
      <c r="G563" s="254"/>
      <c r="H563" s="270"/>
      <c r="I563" s="100">
        <v>77</v>
      </c>
      <c r="J563" s="15" t="s">
        <v>155</v>
      </c>
      <c r="K563" s="247"/>
      <c r="L563" s="247"/>
      <c r="M563" s="247"/>
      <c r="N563" s="301"/>
      <c r="O563" s="297"/>
      <c r="P563" s="297"/>
      <c r="Q563" s="297"/>
      <c r="R563" s="297"/>
      <c r="S563" s="297"/>
      <c r="T563" s="297"/>
      <c r="U563" s="297"/>
      <c r="V563" s="297"/>
      <c r="W563" s="297"/>
      <c r="X563" s="297"/>
      <c r="Y563" s="297"/>
    </row>
    <row r="564" spans="1:25" ht="21" customHeight="1">
      <c r="A564" s="223" t="s">
        <v>865</v>
      </c>
      <c r="B564" s="223" t="s">
        <v>866</v>
      </c>
      <c r="C564" s="223" t="s">
        <v>146</v>
      </c>
      <c r="D564" s="224">
        <v>48</v>
      </c>
      <c r="E564" s="224" t="s">
        <v>867</v>
      </c>
      <c r="F564" s="397" t="s">
        <v>477</v>
      </c>
      <c r="G564" s="254" t="s">
        <v>868</v>
      </c>
      <c r="H564" s="254" t="s">
        <v>150</v>
      </c>
      <c r="I564" s="143">
        <v>1</v>
      </c>
      <c r="J564" s="15" t="s">
        <v>151</v>
      </c>
      <c r="K564" s="247" t="s">
        <v>46</v>
      </c>
      <c r="L564" s="247">
        <v>1</v>
      </c>
      <c r="M564" s="247"/>
      <c r="N564" s="256" t="s">
        <v>50</v>
      </c>
      <c r="O564" s="295" t="s">
        <v>51</v>
      </c>
      <c r="P564" s="295" t="s">
        <v>45</v>
      </c>
      <c r="Q564" s="295"/>
      <c r="R564" s="295"/>
      <c r="S564" s="295"/>
      <c r="T564" s="295"/>
      <c r="U564" s="295"/>
      <c r="V564" s="295"/>
      <c r="W564" s="295"/>
      <c r="X564" s="295"/>
      <c r="Y564" s="295"/>
    </row>
    <row r="565" spans="1:25" ht="20.25" customHeight="1">
      <c r="A565" s="223"/>
      <c r="B565" s="223"/>
      <c r="C565" s="223"/>
      <c r="D565" s="224"/>
      <c r="E565" s="224"/>
      <c r="F565" s="397"/>
      <c r="G565" s="254"/>
      <c r="H565" s="254"/>
      <c r="I565" s="143">
        <v>2</v>
      </c>
      <c r="J565" s="15" t="s">
        <v>152</v>
      </c>
      <c r="K565" s="247"/>
      <c r="L565" s="247"/>
      <c r="M565" s="247"/>
      <c r="N565" s="257"/>
      <c r="O565" s="296"/>
      <c r="P565" s="296"/>
      <c r="Q565" s="296"/>
      <c r="R565" s="296"/>
      <c r="S565" s="296"/>
      <c r="T565" s="296"/>
      <c r="U565" s="296"/>
      <c r="V565" s="296"/>
      <c r="W565" s="296"/>
      <c r="X565" s="296"/>
      <c r="Y565" s="296"/>
    </row>
    <row r="566" spans="1:25" ht="20.25" customHeight="1">
      <c r="A566" s="223"/>
      <c r="B566" s="223"/>
      <c r="C566" s="223"/>
      <c r="D566" s="224"/>
      <c r="E566" s="224"/>
      <c r="F566" s="397"/>
      <c r="G566" s="254"/>
      <c r="H566" s="254"/>
      <c r="I566" s="143">
        <v>3</v>
      </c>
      <c r="J566" s="15" t="s">
        <v>153</v>
      </c>
      <c r="K566" s="247"/>
      <c r="L566" s="247"/>
      <c r="M566" s="247"/>
      <c r="N566" s="257"/>
      <c r="O566" s="296"/>
      <c r="P566" s="296"/>
      <c r="Q566" s="296"/>
      <c r="R566" s="296"/>
      <c r="S566" s="296"/>
      <c r="T566" s="296"/>
      <c r="U566" s="296"/>
      <c r="V566" s="296"/>
      <c r="W566" s="296"/>
      <c r="X566" s="296"/>
      <c r="Y566" s="296"/>
    </row>
    <row r="567" spans="1:25" ht="20.25" customHeight="1">
      <c r="A567" s="223"/>
      <c r="B567" s="223"/>
      <c r="C567" s="223"/>
      <c r="D567" s="224"/>
      <c r="E567" s="224"/>
      <c r="F567" s="397"/>
      <c r="G567" s="254"/>
      <c r="H567" s="254"/>
      <c r="I567" s="143">
        <v>4</v>
      </c>
      <c r="J567" s="15" t="s">
        <v>154</v>
      </c>
      <c r="K567" s="247"/>
      <c r="L567" s="247"/>
      <c r="M567" s="247"/>
      <c r="N567" s="257"/>
      <c r="O567" s="296"/>
      <c r="P567" s="296"/>
      <c r="Q567" s="296"/>
      <c r="R567" s="296"/>
      <c r="S567" s="296"/>
      <c r="T567" s="296"/>
      <c r="U567" s="296"/>
      <c r="V567" s="296"/>
      <c r="W567" s="296"/>
      <c r="X567" s="296"/>
      <c r="Y567" s="296"/>
    </row>
    <row r="568" spans="1:25" ht="20.25" customHeight="1">
      <c r="A568" s="223"/>
      <c r="B568" s="223"/>
      <c r="C568" s="223"/>
      <c r="D568" s="224"/>
      <c r="E568" s="224"/>
      <c r="F568" s="397"/>
      <c r="G568" s="254"/>
      <c r="H568" s="254"/>
      <c r="I568" s="143">
        <v>77</v>
      </c>
      <c r="J568" s="47" t="s">
        <v>155</v>
      </c>
      <c r="K568" s="228"/>
      <c r="L568" s="228"/>
      <c r="M568" s="228"/>
      <c r="N568" s="257"/>
      <c r="O568" s="296"/>
      <c r="P568" s="296"/>
      <c r="Q568" s="296"/>
      <c r="R568" s="296"/>
      <c r="S568" s="296"/>
      <c r="T568" s="296"/>
      <c r="U568" s="296"/>
      <c r="V568" s="296"/>
      <c r="W568" s="296"/>
      <c r="X568" s="296"/>
      <c r="Y568" s="296"/>
    </row>
    <row r="569" spans="1:25" s="26" customFormat="1" ht="77.5">
      <c r="A569" s="49"/>
      <c r="B569" s="49"/>
      <c r="C569" s="61"/>
      <c r="D569" s="172">
        <v>48</v>
      </c>
      <c r="E569" s="169" t="s">
        <v>869</v>
      </c>
      <c r="F569" s="51" t="s">
        <v>870</v>
      </c>
      <c r="G569" s="96" t="s">
        <v>871</v>
      </c>
      <c r="H569" s="144"/>
      <c r="I569" s="129"/>
      <c r="J569" s="130"/>
      <c r="K569" s="183" t="s">
        <v>46</v>
      </c>
      <c r="L569" s="183">
        <v>1</v>
      </c>
      <c r="M569" s="183"/>
      <c r="N569" s="183" t="s">
        <v>44</v>
      </c>
      <c r="O569" s="131"/>
      <c r="P569" s="131"/>
      <c r="Q569" s="194"/>
      <c r="R569" s="194"/>
      <c r="S569" s="132"/>
      <c r="T569" s="132"/>
      <c r="U569" s="132"/>
      <c r="V569" s="132"/>
      <c r="W569" s="132"/>
      <c r="X569" s="132"/>
      <c r="Y569" s="132"/>
    </row>
    <row r="570" spans="1:25" customFormat="1" ht="18" customHeight="1">
      <c r="A570" s="398" t="s">
        <v>872</v>
      </c>
      <c r="B570" s="392" t="s">
        <v>873</v>
      </c>
      <c r="C570" s="52"/>
      <c r="D570" s="377">
        <v>49</v>
      </c>
      <c r="E570" s="377" t="s">
        <v>874</v>
      </c>
      <c r="F570" s="263" t="s">
        <v>875</v>
      </c>
      <c r="G570" s="254" t="s">
        <v>876</v>
      </c>
      <c r="H570" s="396"/>
      <c r="I570" s="100">
        <v>1</v>
      </c>
      <c r="J570" s="96" t="s">
        <v>119</v>
      </c>
      <c r="K570" s="385" t="s">
        <v>46</v>
      </c>
      <c r="L570" s="385">
        <v>1</v>
      </c>
      <c r="M570" s="385"/>
      <c r="N570" s="387" t="s">
        <v>50</v>
      </c>
      <c r="O570" s="395" t="s">
        <v>51</v>
      </c>
      <c r="P570" s="395" t="s">
        <v>45</v>
      </c>
      <c r="Q570" s="195"/>
      <c r="R570" s="195"/>
      <c r="U570" s="646"/>
      <c r="V570" s="646"/>
      <c r="W570" s="646"/>
      <c r="X570" s="646"/>
      <c r="Y570" s="646"/>
    </row>
    <row r="571" spans="1:25" customFormat="1" ht="18" customHeight="1">
      <c r="A571" s="399"/>
      <c r="B571" s="393"/>
      <c r="C571" s="49"/>
      <c r="D571" s="377"/>
      <c r="E571" s="377"/>
      <c r="F571" s="263"/>
      <c r="G571" s="254"/>
      <c r="H571" s="396"/>
      <c r="I571" s="100">
        <v>2</v>
      </c>
      <c r="J571" s="15" t="s">
        <v>120</v>
      </c>
      <c r="K571" s="386"/>
      <c r="L571" s="386"/>
      <c r="M571" s="386"/>
      <c r="N571" s="388"/>
      <c r="O571" s="376"/>
      <c r="P571" s="376"/>
      <c r="Q571" s="195"/>
      <c r="R571" s="195"/>
      <c r="U571" s="646"/>
      <c r="V571" s="646"/>
      <c r="W571" s="646"/>
      <c r="X571" s="646"/>
      <c r="Y571" s="646"/>
    </row>
    <row r="572" spans="1:25" customFormat="1" ht="18" customHeight="1">
      <c r="A572" s="400"/>
      <c r="B572" s="394"/>
      <c r="C572" s="49"/>
      <c r="D572" s="377"/>
      <c r="E572" s="377"/>
      <c r="F572" s="263"/>
      <c r="G572" s="254"/>
      <c r="H572" s="396"/>
      <c r="I572" s="100">
        <v>77</v>
      </c>
      <c r="J572" s="15" t="s">
        <v>155</v>
      </c>
      <c r="K572" s="386"/>
      <c r="L572" s="386"/>
      <c r="M572" s="386"/>
      <c r="N572" s="388"/>
      <c r="O572" s="376"/>
      <c r="P572" s="376"/>
      <c r="Q572" s="195"/>
      <c r="R572" s="195"/>
      <c r="U572" s="646"/>
      <c r="V572" s="646"/>
      <c r="W572" s="646"/>
      <c r="X572" s="646"/>
      <c r="Y572" s="646"/>
    </row>
    <row r="573" spans="1:25" customFormat="1" ht="18" customHeight="1">
      <c r="A573" s="263" t="s">
        <v>877</v>
      </c>
      <c r="B573" s="263" t="s">
        <v>878</v>
      </c>
      <c r="C573" s="263" t="s">
        <v>146</v>
      </c>
      <c r="D573" s="377">
        <v>51</v>
      </c>
      <c r="E573" s="377" t="s">
        <v>879</v>
      </c>
      <c r="F573" s="263" t="s">
        <v>880</v>
      </c>
      <c r="G573" s="354" t="s">
        <v>881</v>
      </c>
      <c r="H573" s="270" t="s">
        <v>295</v>
      </c>
      <c r="I573" s="100">
        <v>1</v>
      </c>
      <c r="J573" s="15" t="s">
        <v>882</v>
      </c>
      <c r="K573" s="386" t="str">
        <f>E570</f>
        <v>V100</v>
      </c>
      <c r="L573" s="386">
        <v>1</v>
      </c>
      <c r="M573" s="386"/>
      <c r="N573" s="388" t="s">
        <v>161</v>
      </c>
      <c r="O573" s="376" t="s">
        <v>51</v>
      </c>
      <c r="P573" s="376" t="s">
        <v>45</v>
      </c>
      <c r="Q573" s="195"/>
      <c r="R573" s="195"/>
      <c r="U573" s="647"/>
      <c r="V573" s="647"/>
      <c r="W573" s="647"/>
      <c r="X573" s="647"/>
      <c r="Y573" s="647"/>
    </row>
    <row r="574" spans="1:25" customFormat="1" ht="18" customHeight="1">
      <c r="A574" s="263"/>
      <c r="B574" s="263"/>
      <c r="C574" s="263"/>
      <c r="D574" s="377"/>
      <c r="E574" s="377"/>
      <c r="F574" s="263"/>
      <c r="G574" s="354"/>
      <c r="H574" s="270"/>
      <c r="I574" s="100">
        <v>2</v>
      </c>
      <c r="J574" s="15" t="s">
        <v>883</v>
      </c>
      <c r="K574" s="386"/>
      <c r="L574" s="386"/>
      <c r="M574" s="386"/>
      <c r="N574" s="388"/>
      <c r="O574" s="376"/>
      <c r="P574" s="376"/>
      <c r="Q574" s="195"/>
      <c r="R574" s="195"/>
      <c r="U574" s="646"/>
      <c r="V574" s="646"/>
      <c r="W574" s="646"/>
      <c r="X574" s="646"/>
      <c r="Y574" s="646"/>
    </row>
    <row r="575" spans="1:25" customFormat="1" ht="18" customHeight="1">
      <c r="A575" s="263"/>
      <c r="B575" s="263"/>
      <c r="C575" s="263"/>
      <c r="D575" s="377"/>
      <c r="E575" s="377"/>
      <c r="F575" s="263"/>
      <c r="G575" s="354"/>
      <c r="H575" s="270"/>
      <c r="I575" s="100">
        <v>3</v>
      </c>
      <c r="J575" s="15" t="s">
        <v>884</v>
      </c>
      <c r="K575" s="386"/>
      <c r="L575" s="386"/>
      <c r="M575" s="386"/>
      <c r="N575" s="388"/>
      <c r="O575" s="376"/>
      <c r="P575" s="376"/>
      <c r="Q575" s="195"/>
      <c r="R575" s="195"/>
      <c r="U575" s="646"/>
      <c r="V575" s="646"/>
      <c r="W575" s="646"/>
      <c r="X575" s="646"/>
      <c r="Y575" s="646"/>
    </row>
    <row r="576" spans="1:25" customFormat="1" ht="18" customHeight="1">
      <c r="A576" s="263"/>
      <c r="B576" s="263"/>
      <c r="C576" s="263"/>
      <c r="D576" s="377"/>
      <c r="E576" s="377"/>
      <c r="F576" s="263"/>
      <c r="G576" s="354"/>
      <c r="H576" s="270"/>
      <c r="I576" s="100">
        <v>4</v>
      </c>
      <c r="J576" s="15" t="s">
        <v>885</v>
      </c>
      <c r="K576" s="386"/>
      <c r="L576" s="386"/>
      <c r="M576" s="386"/>
      <c r="N576" s="388"/>
      <c r="O576" s="376"/>
      <c r="P576" s="376"/>
      <c r="Q576" s="195"/>
      <c r="R576" s="195"/>
      <c r="U576" s="646"/>
      <c r="V576" s="646"/>
      <c r="W576" s="646"/>
      <c r="X576" s="646"/>
      <c r="Y576" s="646"/>
    </row>
    <row r="577" spans="1:25" customFormat="1" ht="18" customHeight="1">
      <c r="A577" s="263"/>
      <c r="B577" s="263"/>
      <c r="C577" s="263"/>
      <c r="D577" s="377"/>
      <c r="E577" s="377"/>
      <c r="F577" s="263"/>
      <c r="G577" s="354"/>
      <c r="H577" s="270"/>
      <c r="I577" s="100">
        <v>5</v>
      </c>
      <c r="J577" s="15" t="s">
        <v>886</v>
      </c>
      <c r="K577" s="386"/>
      <c r="L577" s="386"/>
      <c r="M577" s="386"/>
      <c r="N577" s="388"/>
      <c r="O577" s="376"/>
      <c r="P577" s="376"/>
      <c r="Q577" s="195"/>
      <c r="R577" s="195"/>
      <c r="U577" s="646"/>
      <c r="V577" s="646"/>
      <c r="W577" s="646"/>
      <c r="X577" s="646"/>
      <c r="Y577" s="646"/>
    </row>
    <row r="578" spans="1:25" customFormat="1" ht="18" customHeight="1">
      <c r="A578" s="263"/>
      <c r="B578" s="263"/>
      <c r="C578" s="263"/>
      <c r="D578" s="377"/>
      <c r="E578" s="377"/>
      <c r="F578" s="263"/>
      <c r="G578" s="354"/>
      <c r="H578" s="270"/>
      <c r="I578" s="100">
        <v>6</v>
      </c>
      <c r="J578" s="15" t="s">
        <v>887</v>
      </c>
      <c r="K578" s="386"/>
      <c r="L578" s="386"/>
      <c r="M578" s="386"/>
      <c r="N578" s="388"/>
      <c r="O578" s="376"/>
      <c r="P578" s="376"/>
      <c r="Q578" s="195"/>
      <c r="R578" s="195"/>
      <c r="U578" s="646"/>
      <c r="V578" s="646"/>
      <c r="W578" s="646"/>
      <c r="X578" s="646"/>
      <c r="Y578" s="646"/>
    </row>
    <row r="579" spans="1:25" customFormat="1" ht="18" customHeight="1">
      <c r="A579" s="263"/>
      <c r="B579" s="263"/>
      <c r="C579" s="263"/>
      <c r="D579" s="377"/>
      <c r="E579" s="377"/>
      <c r="F579" s="263"/>
      <c r="G579" s="354"/>
      <c r="H579" s="270"/>
      <c r="I579" s="100">
        <v>77</v>
      </c>
      <c r="J579" s="15" t="s">
        <v>155</v>
      </c>
      <c r="K579" s="386"/>
      <c r="L579" s="386"/>
      <c r="M579" s="386"/>
      <c r="N579" s="388"/>
      <c r="O579" s="376"/>
      <c r="P579" s="376"/>
      <c r="Q579" s="195"/>
      <c r="R579" s="195"/>
      <c r="U579" s="648"/>
      <c r="V579" s="648"/>
      <c r="W579" s="648"/>
      <c r="X579" s="648"/>
      <c r="Y579" s="648"/>
    </row>
    <row r="580" spans="1:25" customFormat="1" ht="18" customHeight="1">
      <c r="A580" s="401" t="s">
        <v>888</v>
      </c>
      <c r="B580" s="263" t="s">
        <v>889</v>
      </c>
      <c r="C580" s="263" t="s">
        <v>129</v>
      </c>
      <c r="D580" s="377">
        <v>52</v>
      </c>
      <c r="E580" s="377" t="s">
        <v>890</v>
      </c>
      <c r="F580" s="263" t="s">
        <v>891</v>
      </c>
      <c r="G580" s="254" t="s">
        <v>892</v>
      </c>
      <c r="H580" s="270" t="s">
        <v>295</v>
      </c>
      <c r="I580" s="100">
        <v>1</v>
      </c>
      <c r="J580" s="15" t="s">
        <v>893</v>
      </c>
      <c r="K580" s="386" t="str">
        <f>E570</f>
        <v>V100</v>
      </c>
      <c r="L580" s="386">
        <v>1</v>
      </c>
      <c r="M580" s="386"/>
      <c r="N580" s="388" t="s">
        <v>161</v>
      </c>
      <c r="O580" s="376" t="s">
        <v>51</v>
      </c>
      <c r="P580" s="376" t="s">
        <v>45</v>
      </c>
      <c r="Q580" s="195"/>
      <c r="R580" s="195"/>
      <c r="U580" s="647"/>
      <c r="V580" s="647"/>
      <c r="W580" s="647"/>
      <c r="X580" s="647"/>
      <c r="Y580" s="647"/>
    </row>
    <row r="581" spans="1:25" customFormat="1" ht="18" customHeight="1">
      <c r="A581" s="401"/>
      <c r="B581" s="263"/>
      <c r="C581" s="263"/>
      <c r="D581" s="377"/>
      <c r="E581" s="377"/>
      <c r="F581" s="263"/>
      <c r="G581" s="254"/>
      <c r="H581" s="270"/>
      <c r="I581" s="100">
        <v>2</v>
      </c>
      <c r="J581" s="15" t="s">
        <v>894</v>
      </c>
      <c r="K581" s="386"/>
      <c r="L581" s="386"/>
      <c r="M581" s="386"/>
      <c r="N581" s="388"/>
      <c r="O581" s="376"/>
      <c r="P581" s="376"/>
      <c r="Q581" s="195"/>
      <c r="R581" s="195"/>
      <c r="U581" s="646"/>
      <c r="V581" s="646"/>
      <c r="W581" s="646"/>
      <c r="X581" s="646"/>
      <c r="Y581" s="646"/>
    </row>
    <row r="582" spans="1:25" customFormat="1" ht="18" customHeight="1">
      <c r="A582" s="401"/>
      <c r="B582" s="263"/>
      <c r="C582" s="263"/>
      <c r="D582" s="377"/>
      <c r="E582" s="377"/>
      <c r="F582" s="263"/>
      <c r="G582" s="254"/>
      <c r="H582" s="270"/>
      <c r="I582" s="100">
        <v>3</v>
      </c>
      <c r="J582" s="15" t="s">
        <v>895</v>
      </c>
      <c r="K582" s="386"/>
      <c r="L582" s="386"/>
      <c r="M582" s="386"/>
      <c r="N582" s="388"/>
      <c r="O582" s="376"/>
      <c r="P582" s="376"/>
      <c r="Q582" s="195"/>
      <c r="R582" s="195"/>
      <c r="U582" s="646"/>
      <c r="V582" s="646"/>
      <c r="W582" s="646"/>
      <c r="X582" s="646"/>
      <c r="Y582" s="646"/>
    </row>
    <row r="583" spans="1:25" customFormat="1" ht="18" customHeight="1">
      <c r="A583" s="401"/>
      <c r="B583" s="263"/>
      <c r="C583" s="263"/>
      <c r="D583" s="377"/>
      <c r="E583" s="377"/>
      <c r="F583" s="263"/>
      <c r="G583" s="254"/>
      <c r="H583" s="270"/>
      <c r="I583" s="100">
        <v>4</v>
      </c>
      <c r="J583" s="15" t="s">
        <v>896</v>
      </c>
      <c r="K583" s="386"/>
      <c r="L583" s="386"/>
      <c r="M583" s="386"/>
      <c r="N583" s="388"/>
      <c r="O583" s="376"/>
      <c r="P583" s="376"/>
      <c r="Q583" s="195"/>
      <c r="R583" s="195"/>
      <c r="U583" s="646"/>
      <c r="V583" s="646"/>
      <c r="W583" s="646"/>
      <c r="X583" s="646"/>
      <c r="Y583" s="646"/>
    </row>
    <row r="584" spans="1:25" customFormat="1" ht="18" customHeight="1">
      <c r="A584" s="401"/>
      <c r="B584" s="263"/>
      <c r="C584" s="263"/>
      <c r="D584" s="377"/>
      <c r="E584" s="377"/>
      <c r="F584" s="263"/>
      <c r="G584" s="254"/>
      <c r="H584" s="270"/>
      <c r="I584" s="100">
        <v>5</v>
      </c>
      <c r="J584" s="15" t="s">
        <v>897</v>
      </c>
      <c r="K584" s="386"/>
      <c r="L584" s="386"/>
      <c r="M584" s="386"/>
      <c r="N584" s="388"/>
      <c r="O584" s="376"/>
      <c r="P584" s="376"/>
      <c r="Q584" s="195"/>
      <c r="R584" s="195"/>
      <c r="U584" s="646"/>
      <c r="V584" s="646"/>
      <c r="W584" s="646"/>
      <c r="X584" s="646"/>
      <c r="Y584" s="646"/>
    </row>
    <row r="585" spans="1:25" customFormat="1" ht="18" customHeight="1">
      <c r="A585" s="401"/>
      <c r="B585" s="263"/>
      <c r="C585" s="263"/>
      <c r="D585" s="377"/>
      <c r="E585" s="377"/>
      <c r="F585" s="263"/>
      <c r="G585" s="254"/>
      <c r="H585" s="270"/>
      <c r="I585" s="100">
        <v>6</v>
      </c>
      <c r="J585" s="15" t="s">
        <v>843</v>
      </c>
      <c r="K585" s="386"/>
      <c r="L585" s="386"/>
      <c r="M585" s="386"/>
      <c r="N585" s="388"/>
      <c r="O585" s="376"/>
      <c r="P585" s="376"/>
      <c r="Q585" s="195"/>
      <c r="R585" s="195"/>
      <c r="U585" s="646"/>
      <c r="V585" s="646"/>
      <c r="W585" s="646"/>
      <c r="X585" s="646"/>
      <c r="Y585" s="646"/>
    </row>
    <row r="586" spans="1:25" customFormat="1" ht="18" customHeight="1">
      <c r="A586" s="401"/>
      <c r="B586" s="263"/>
      <c r="C586" s="263"/>
      <c r="D586" s="377"/>
      <c r="E586" s="377"/>
      <c r="F586" s="263"/>
      <c r="G586" s="254"/>
      <c r="H586" s="270"/>
      <c r="I586" s="100">
        <v>77</v>
      </c>
      <c r="J586" s="15" t="s">
        <v>155</v>
      </c>
      <c r="K586" s="386"/>
      <c r="L586" s="386"/>
      <c r="M586" s="386"/>
      <c r="N586" s="388"/>
      <c r="O586" s="376"/>
      <c r="P586" s="376"/>
      <c r="Q586" s="211"/>
      <c r="R586" s="211"/>
      <c r="U586" s="648"/>
      <c r="V586" s="648"/>
      <c r="W586" s="648"/>
      <c r="X586" s="648"/>
      <c r="Y586" s="648"/>
    </row>
    <row r="587" spans="1:25" ht="75" customHeight="1">
      <c r="E587" s="170" t="s">
        <v>898</v>
      </c>
      <c r="G587" s="75" t="s">
        <v>899</v>
      </c>
      <c r="K587" s="101" t="s">
        <v>46</v>
      </c>
      <c r="L587" s="101" t="s">
        <v>900</v>
      </c>
      <c r="M587" s="168" t="s">
        <v>901</v>
      </c>
      <c r="Q587" s="93"/>
      <c r="R587" s="93"/>
    </row>
  </sheetData>
  <mergeCells count="2413">
    <mergeCell ref="D333:D346"/>
    <mergeCell ref="D326:D328"/>
    <mergeCell ref="K375:K379"/>
    <mergeCell ref="L375:L379"/>
    <mergeCell ref="M375:M379"/>
    <mergeCell ref="M312:M314"/>
    <mergeCell ref="H350:H363"/>
    <mergeCell ref="S330:S332"/>
    <mergeCell ref="S390:S394"/>
    <mergeCell ref="S380:S384"/>
    <mergeCell ref="S395:S399"/>
    <mergeCell ref="O390:O394"/>
    <mergeCell ref="R323:R325"/>
    <mergeCell ref="H312:H314"/>
    <mergeCell ref="N390:N394"/>
    <mergeCell ref="G380:G384"/>
    <mergeCell ref="H380:H384"/>
    <mergeCell ref="K365:K369"/>
    <mergeCell ref="L365:L369"/>
    <mergeCell ref="M365:M369"/>
    <mergeCell ref="N365:N369"/>
    <mergeCell ref="G312:G314"/>
    <mergeCell ref="H385:H389"/>
    <mergeCell ref="F385:F389"/>
    <mergeCell ref="P365:P369"/>
    <mergeCell ref="Q365:Q369"/>
    <mergeCell ref="L333:L346"/>
    <mergeCell ref="D312:D314"/>
    <mergeCell ref="N375:N379"/>
    <mergeCell ref="O375:O379"/>
    <mergeCell ref="P375:P379"/>
    <mergeCell ref="Q375:Q379"/>
    <mergeCell ref="K347:K349"/>
    <mergeCell ref="L347:L349"/>
    <mergeCell ref="M347:M349"/>
    <mergeCell ref="R326:R328"/>
    <mergeCell ref="K320:K322"/>
    <mergeCell ref="E290:E311"/>
    <mergeCell ref="O315:O319"/>
    <mergeCell ref="P395:P399"/>
    <mergeCell ref="Q395:Q399"/>
    <mergeCell ref="R395:R399"/>
    <mergeCell ref="G408:G411"/>
    <mergeCell ref="O370:O374"/>
    <mergeCell ref="P370:P374"/>
    <mergeCell ref="Q370:Q374"/>
    <mergeCell ref="R370:R374"/>
    <mergeCell ref="P330:P332"/>
    <mergeCell ref="Q330:Q332"/>
    <mergeCell ref="R330:R332"/>
    <mergeCell ref="N315:N319"/>
    <mergeCell ref="O380:O384"/>
    <mergeCell ref="P380:P384"/>
    <mergeCell ref="Q380:Q384"/>
    <mergeCell ref="R380:R384"/>
    <mergeCell ref="L350:L363"/>
    <mergeCell ref="L390:L394"/>
    <mergeCell ref="F408:F411"/>
    <mergeCell ref="O365:O369"/>
    <mergeCell ref="L528:L534"/>
    <mergeCell ref="M528:M534"/>
    <mergeCell ref="N528:N534"/>
    <mergeCell ref="O528:O534"/>
    <mergeCell ref="P528:P534"/>
    <mergeCell ref="Q528:Q534"/>
    <mergeCell ref="R528:R534"/>
    <mergeCell ref="S528:S534"/>
    <mergeCell ref="N456:N460"/>
    <mergeCell ref="O456:O460"/>
    <mergeCell ref="P456:P460"/>
    <mergeCell ref="Q456:Q460"/>
    <mergeCell ref="R456:R460"/>
    <mergeCell ref="S456:S460"/>
    <mergeCell ref="K486:K488"/>
    <mergeCell ref="L486:L488"/>
    <mergeCell ref="M486:M488"/>
    <mergeCell ref="N486:N488"/>
    <mergeCell ref="O486:O488"/>
    <mergeCell ref="P486:P488"/>
    <mergeCell ref="Q486:Q488"/>
    <mergeCell ref="R486:R488"/>
    <mergeCell ref="S486:S488"/>
    <mergeCell ref="K521:K523"/>
    <mergeCell ref="L521:L523"/>
    <mergeCell ref="M521:M523"/>
    <mergeCell ref="S494:S498"/>
    <mergeCell ref="L500:L504"/>
    <mergeCell ref="M500:M504"/>
    <mergeCell ref="N500:N504"/>
    <mergeCell ref="S480:S482"/>
    <mergeCell ref="T395:T399"/>
    <mergeCell ref="P477:P479"/>
    <mergeCell ref="Q477:Q479"/>
    <mergeCell ref="S461:S465"/>
    <mergeCell ref="K525:K527"/>
    <mergeCell ref="T210:T213"/>
    <mergeCell ref="P252:P255"/>
    <mergeCell ref="Q252:Q255"/>
    <mergeCell ref="R252:R255"/>
    <mergeCell ref="T315:T319"/>
    <mergeCell ref="L320:L322"/>
    <mergeCell ref="M320:M322"/>
    <mergeCell ref="N320:N322"/>
    <mergeCell ref="O320:O322"/>
    <mergeCell ref="S290:S311"/>
    <mergeCell ref="P290:P311"/>
    <mergeCell ref="S320:S322"/>
    <mergeCell ref="P347:P349"/>
    <mergeCell ref="Q347:Q349"/>
    <mergeCell ref="P390:P394"/>
    <mergeCell ref="Q390:Q394"/>
    <mergeCell ref="R390:R394"/>
    <mergeCell ref="S315:S319"/>
    <mergeCell ref="O210:O213"/>
    <mergeCell ref="L370:L374"/>
    <mergeCell ref="M370:M374"/>
    <mergeCell ref="N370:N374"/>
    <mergeCell ref="M380:M384"/>
    <mergeCell ref="N380:N384"/>
    <mergeCell ref="O290:O311"/>
    <mergeCell ref="T525:T527"/>
    <mergeCell ref="L525:L527"/>
    <mergeCell ref="M525:M527"/>
    <mergeCell ref="N525:N527"/>
    <mergeCell ref="O525:O527"/>
    <mergeCell ref="P525:P527"/>
    <mergeCell ref="Q525:Q527"/>
    <mergeCell ref="R525:R527"/>
    <mergeCell ref="S525:S527"/>
    <mergeCell ref="R521:R523"/>
    <mergeCell ref="S521:S523"/>
    <mergeCell ref="S431:S435"/>
    <mergeCell ref="P421:P425"/>
    <mergeCell ref="Q421:Q425"/>
    <mergeCell ref="R421:R425"/>
    <mergeCell ref="N521:N523"/>
    <mergeCell ref="O521:O523"/>
    <mergeCell ref="P521:P523"/>
    <mergeCell ref="Q521:Q523"/>
    <mergeCell ref="Q436:Q440"/>
    <mergeCell ref="R436:R440"/>
    <mergeCell ref="Q426:Q430"/>
    <mergeCell ref="R426:R430"/>
    <mergeCell ref="S426:S430"/>
    <mergeCell ref="N421:N425"/>
    <mergeCell ref="P431:P435"/>
    <mergeCell ref="Q431:Q435"/>
    <mergeCell ref="T494:T498"/>
    <mergeCell ref="M436:M440"/>
    <mergeCell ref="N436:N440"/>
    <mergeCell ref="O436:O440"/>
    <mergeCell ref="P436:P440"/>
    <mergeCell ref="Q489:Q493"/>
    <mergeCell ref="S511:S515"/>
    <mergeCell ref="T511:T515"/>
    <mergeCell ref="T472:T476"/>
    <mergeCell ref="V441:V445"/>
    <mergeCell ref="L395:L399"/>
    <mergeCell ref="M395:M399"/>
    <mergeCell ref="N395:N399"/>
    <mergeCell ref="O395:O399"/>
    <mergeCell ref="U451:U455"/>
    <mergeCell ref="U390:U394"/>
    <mergeCell ref="U395:U399"/>
    <mergeCell ref="U494:U498"/>
    <mergeCell ref="L480:L482"/>
    <mergeCell ref="M480:M482"/>
    <mergeCell ref="N480:N482"/>
    <mergeCell ref="O480:O482"/>
    <mergeCell ref="P480:P482"/>
    <mergeCell ref="Q480:Q482"/>
    <mergeCell ref="R480:R482"/>
    <mergeCell ref="T408:T411"/>
    <mergeCell ref="U408:U411"/>
    <mergeCell ref="U426:U430"/>
    <mergeCell ref="S415:S419"/>
    <mergeCell ref="S436:S440"/>
    <mergeCell ref="N431:N435"/>
    <mergeCell ref="O431:O435"/>
    <mergeCell ref="A377:A379"/>
    <mergeCell ref="U370:U374"/>
    <mergeCell ref="V370:V374"/>
    <mergeCell ref="W370:W374"/>
    <mergeCell ref="X370:X374"/>
    <mergeCell ref="Y370:Y374"/>
    <mergeCell ref="U375:U379"/>
    <mergeCell ref="V375:V379"/>
    <mergeCell ref="W375:W379"/>
    <mergeCell ref="V446:V450"/>
    <mergeCell ref="W446:W450"/>
    <mergeCell ref="X446:X450"/>
    <mergeCell ref="Y446:Y450"/>
    <mergeCell ref="G446:G450"/>
    <mergeCell ref="A446:A450"/>
    <mergeCell ref="B446:B450"/>
    <mergeCell ref="C446:C450"/>
    <mergeCell ref="D446:D450"/>
    <mergeCell ref="E446:E450"/>
    <mergeCell ref="F446:F450"/>
    <mergeCell ref="T375:T379"/>
    <mergeCell ref="K380:K384"/>
    <mergeCell ref="L380:L384"/>
    <mergeCell ref="K370:K374"/>
    <mergeCell ref="M408:M411"/>
    <mergeCell ref="K436:K440"/>
    <mergeCell ref="L436:L440"/>
    <mergeCell ref="M390:M394"/>
    <mergeCell ref="U441:U445"/>
    <mergeCell ref="Q408:Q411"/>
    <mergeCell ref="R408:R411"/>
    <mergeCell ref="S408:S411"/>
    <mergeCell ref="W456:W460"/>
    <mergeCell ref="X456:X460"/>
    <mergeCell ref="Y456:Y460"/>
    <mergeCell ref="K446:K450"/>
    <mergeCell ref="L446:L450"/>
    <mergeCell ref="M446:M450"/>
    <mergeCell ref="N446:N450"/>
    <mergeCell ref="O446:O450"/>
    <mergeCell ref="P446:P450"/>
    <mergeCell ref="Q446:Q450"/>
    <mergeCell ref="R446:R450"/>
    <mergeCell ref="S446:S450"/>
    <mergeCell ref="K456:K460"/>
    <mergeCell ref="F456:F460"/>
    <mergeCell ref="G456:G460"/>
    <mergeCell ref="H456:H460"/>
    <mergeCell ref="U456:U460"/>
    <mergeCell ref="V456:V460"/>
    <mergeCell ref="M456:M460"/>
    <mergeCell ref="H446:H450"/>
    <mergeCell ref="A306:A308"/>
    <mergeCell ref="B306:B308"/>
    <mergeCell ref="A309:A311"/>
    <mergeCell ref="B309:B311"/>
    <mergeCell ref="C323:C325"/>
    <mergeCell ref="D323:D325"/>
    <mergeCell ref="K312:K314"/>
    <mergeCell ref="L312:L314"/>
    <mergeCell ref="L214:L221"/>
    <mergeCell ref="M214:M221"/>
    <mergeCell ref="N214:N221"/>
    <mergeCell ref="X323:X325"/>
    <mergeCell ref="W441:W445"/>
    <mergeCell ref="X441:X445"/>
    <mergeCell ref="Y441:Y445"/>
    <mergeCell ref="G365:G369"/>
    <mergeCell ref="H365:H369"/>
    <mergeCell ref="G370:G374"/>
    <mergeCell ref="H370:H374"/>
    <mergeCell ref="G375:G379"/>
    <mergeCell ref="H375:H379"/>
    <mergeCell ref="F365:F369"/>
    <mergeCell ref="F370:F374"/>
    <mergeCell ref="F375:F379"/>
    <mergeCell ref="B377:B379"/>
    <mergeCell ref="M441:M445"/>
    <mergeCell ref="N441:N445"/>
    <mergeCell ref="O441:O445"/>
    <mergeCell ref="P441:P445"/>
    <mergeCell ref="Q441:Q445"/>
    <mergeCell ref="R441:R445"/>
    <mergeCell ref="S441:S445"/>
    <mergeCell ref="A201:A202"/>
    <mergeCell ref="B201:B202"/>
    <mergeCell ref="A380:A384"/>
    <mergeCell ref="B380:B384"/>
    <mergeCell ref="F380:F384"/>
    <mergeCell ref="U380:U384"/>
    <mergeCell ref="V380:V384"/>
    <mergeCell ref="W380:W384"/>
    <mergeCell ref="X380:X384"/>
    <mergeCell ref="Y380:Y384"/>
    <mergeCell ref="A315:A319"/>
    <mergeCell ref="B315:B319"/>
    <mergeCell ref="C315:C319"/>
    <mergeCell ref="D315:D319"/>
    <mergeCell ref="E315:E319"/>
    <mergeCell ref="F315:F319"/>
    <mergeCell ref="G315:G319"/>
    <mergeCell ref="H315:H319"/>
    <mergeCell ref="A320:A322"/>
    <mergeCell ref="U365:U369"/>
    <mergeCell ref="V365:V369"/>
    <mergeCell ref="W365:W369"/>
    <mergeCell ref="T323:T325"/>
    <mergeCell ref="Y365:Y369"/>
    <mergeCell ref="R375:R379"/>
    <mergeCell ref="S375:S379"/>
    <mergeCell ref="S323:S325"/>
    <mergeCell ref="A324:A325"/>
    <mergeCell ref="B324:B325"/>
    <mergeCell ref="D260:D266"/>
    <mergeCell ref="L268:L289"/>
    <mergeCell ref="M268:M289"/>
    <mergeCell ref="U570:U572"/>
    <mergeCell ref="V570:V572"/>
    <mergeCell ref="W570:W572"/>
    <mergeCell ref="X570:X572"/>
    <mergeCell ref="Y570:Y572"/>
    <mergeCell ref="U573:U579"/>
    <mergeCell ref="V573:V579"/>
    <mergeCell ref="W573:W579"/>
    <mergeCell ref="X573:X579"/>
    <mergeCell ref="Y573:Y579"/>
    <mergeCell ref="U580:U586"/>
    <mergeCell ref="V580:V586"/>
    <mergeCell ref="W580:W586"/>
    <mergeCell ref="X580:X586"/>
    <mergeCell ref="Y580:Y586"/>
    <mergeCell ref="U436:U440"/>
    <mergeCell ref="V436:V440"/>
    <mergeCell ref="W436:W440"/>
    <mergeCell ref="X436:X440"/>
    <mergeCell ref="Y436:Y440"/>
    <mergeCell ref="V451:V455"/>
    <mergeCell ref="W451:W455"/>
    <mergeCell ref="X451:X455"/>
    <mergeCell ref="Y451:Y455"/>
    <mergeCell ref="Y521:Y523"/>
    <mergeCell ref="V480:V482"/>
    <mergeCell ref="V483:V485"/>
    <mergeCell ref="U480:U482"/>
    <mergeCell ref="V477:V479"/>
    <mergeCell ref="V472:V476"/>
    <mergeCell ref="V461:V465"/>
    <mergeCell ref="V494:V498"/>
    <mergeCell ref="U521:U523"/>
    <mergeCell ref="V521:V523"/>
    <mergeCell ref="W521:W523"/>
    <mergeCell ref="X521:X523"/>
    <mergeCell ref="U431:U435"/>
    <mergeCell ref="V431:V435"/>
    <mergeCell ref="W431:W435"/>
    <mergeCell ref="X431:X435"/>
    <mergeCell ref="O483:O485"/>
    <mergeCell ref="P483:P485"/>
    <mergeCell ref="Q483:Q485"/>
    <mergeCell ref="H521:H523"/>
    <mergeCell ref="G521:G523"/>
    <mergeCell ref="F521:F523"/>
    <mergeCell ref="V256:V259"/>
    <mergeCell ref="W256:W259"/>
    <mergeCell ref="X256:X259"/>
    <mergeCell ref="W330:W332"/>
    <mergeCell ref="X330:X332"/>
    <mergeCell ref="F260:F266"/>
    <mergeCell ref="H330:H332"/>
    <mergeCell ref="G330:G332"/>
    <mergeCell ref="F330:F332"/>
    <mergeCell ref="V408:V411"/>
    <mergeCell ref="F323:F325"/>
    <mergeCell ref="G323:G325"/>
    <mergeCell ref="H323:H325"/>
    <mergeCell ref="K323:K325"/>
    <mergeCell ref="L323:L325"/>
    <mergeCell ref="M323:M325"/>
    <mergeCell ref="N323:N325"/>
    <mergeCell ref="R290:R311"/>
    <mergeCell ref="B45:B47"/>
    <mergeCell ref="C45:C47"/>
    <mergeCell ref="D45:D47"/>
    <mergeCell ref="X45:X47"/>
    <mergeCell ref="Y45:Y47"/>
    <mergeCell ref="P403:P407"/>
    <mergeCell ref="Q403:Q407"/>
    <mergeCell ref="R403:R407"/>
    <mergeCell ref="S403:S407"/>
    <mergeCell ref="E403:E407"/>
    <mergeCell ref="F403:F407"/>
    <mergeCell ref="G403:G407"/>
    <mergeCell ref="H403:H407"/>
    <mergeCell ref="W114:W118"/>
    <mergeCell ref="X114:X118"/>
    <mergeCell ref="Y114:Y118"/>
    <mergeCell ref="V174:V182"/>
    <mergeCell ref="W174:W182"/>
    <mergeCell ref="X174:X182"/>
    <mergeCell ref="Y174:Y182"/>
    <mergeCell ref="W203:W207"/>
    <mergeCell ref="X203:X207"/>
    <mergeCell ref="Y203:Y207"/>
    <mergeCell ref="W198:W202"/>
    <mergeCell ref="X198:X202"/>
    <mergeCell ref="Y198:Y202"/>
    <mergeCell ref="U252:U255"/>
    <mergeCell ref="U256:U259"/>
    <mergeCell ref="V153:V158"/>
    <mergeCell ref="W153:W158"/>
    <mergeCell ref="X153:X158"/>
    <mergeCell ref="Y252:Y255"/>
    <mergeCell ref="W27:W29"/>
    <mergeCell ref="X27:X29"/>
    <mergeCell ref="Y27:Y29"/>
    <mergeCell ref="F40:F42"/>
    <mergeCell ref="A40:A42"/>
    <mergeCell ref="B40:B42"/>
    <mergeCell ref="C40:C42"/>
    <mergeCell ref="D40:D42"/>
    <mergeCell ref="E40:E42"/>
    <mergeCell ref="G40:G42"/>
    <mergeCell ref="H40:H42"/>
    <mergeCell ref="U40:U42"/>
    <mergeCell ref="V40:V42"/>
    <mergeCell ref="W40:W42"/>
    <mergeCell ref="X40:X42"/>
    <mergeCell ref="Y40:Y42"/>
    <mergeCell ref="V35:V36"/>
    <mergeCell ref="P35:P36"/>
    <mergeCell ref="Q35:Q36"/>
    <mergeCell ref="R35:R36"/>
    <mergeCell ref="S35:S36"/>
    <mergeCell ref="T35:T36"/>
    <mergeCell ref="K40:K42"/>
    <mergeCell ref="L40:L42"/>
    <mergeCell ref="M40:M42"/>
    <mergeCell ref="N40:N42"/>
    <mergeCell ref="K27:K29"/>
    <mergeCell ref="L27:L29"/>
    <mergeCell ref="M27:M29"/>
    <mergeCell ref="N27:N29"/>
    <mergeCell ref="O27:O29"/>
    <mergeCell ref="P27:P29"/>
    <mergeCell ref="V208:V209"/>
    <mergeCell ref="E260:E266"/>
    <mergeCell ref="T40:T42"/>
    <mergeCell ref="D385:D389"/>
    <mergeCell ref="E385:E389"/>
    <mergeCell ref="K385:K389"/>
    <mergeCell ref="L385:L389"/>
    <mergeCell ref="M385:M389"/>
    <mergeCell ref="N385:N389"/>
    <mergeCell ref="M326:M328"/>
    <mergeCell ref="H27:H29"/>
    <mergeCell ref="G27:G29"/>
    <mergeCell ref="A27:A29"/>
    <mergeCell ref="B27:B29"/>
    <mergeCell ref="C27:C29"/>
    <mergeCell ref="D27:D29"/>
    <mergeCell ref="E27:E29"/>
    <mergeCell ref="F27:F29"/>
    <mergeCell ref="G347:G349"/>
    <mergeCell ref="F347:F349"/>
    <mergeCell ref="M333:M346"/>
    <mergeCell ref="C385:C386"/>
    <mergeCell ref="G385:G389"/>
    <mergeCell ref="H347:H349"/>
    <mergeCell ref="T385:T389"/>
    <mergeCell ref="Q256:Q259"/>
    <mergeCell ref="R256:R259"/>
    <mergeCell ref="T231:T234"/>
    <mergeCell ref="B223:B230"/>
    <mergeCell ref="E45:E47"/>
    <mergeCell ref="B320:B322"/>
    <mergeCell ref="C320:C322"/>
    <mergeCell ref="V100:V102"/>
    <mergeCell ref="V59:V71"/>
    <mergeCell ref="V80:V87"/>
    <mergeCell ref="U100:U102"/>
    <mergeCell ref="V88:V91"/>
    <mergeCell ref="A330:A332"/>
    <mergeCell ref="B330:B332"/>
    <mergeCell ref="C330:C332"/>
    <mergeCell ref="D330:D332"/>
    <mergeCell ref="E330:E332"/>
    <mergeCell ref="U330:U332"/>
    <mergeCell ref="V330:V332"/>
    <mergeCell ref="P323:P325"/>
    <mergeCell ref="B312:B314"/>
    <mergeCell ref="G268:G289"/>
    <mergeCell ref="H268:H289"/>
    <mergeCell ref="L326:L328"/>
    <mergeCell ref="U268:U289"/>
    <mergeCell ref="U290:U311"/>
    <mergeCell ref="T290:T311"/>
    <mergeCell ref="T326:T328"/>
    <mergeCell ref="U326:U328"/>
    <mergeCell ref="A326:A328"/>
    <mergeCell ref="U260:U266"/>
    <mergeCell ref="V260:V266"/>
    <mergeCell ref="O260:O266"/>
    <mergeCell ref="P260:P266"/>
    <mergeCell ref="R236:R239"/>
    <mergeCell ref="S236:S239"/>
    <mergeCell ref="V136:V138"/>
    <mergeCell ref="E326:E328"/>
    <mergeCell ref="E312:E314"/>
    <mergeCell ref="N268:N289"/>
    <mergeCell ref="O268:O289"/>
    <mergeCell ref="P268:P289"/>
    <mergeCell ref="Q268:Q289"/>
    <mergeCell ref="R268:R289"/>
    <mergeCell ref="F268:F289"/>
    <mergeCell ref="F326:F328"/>
    <mergeCell ref="G326:G328"/>
    <mergeCell ref="H326:H328"/>
    <mergeCell ref="Q290:Q311"/>
    <mergeCell ref="O323:O325"/>
    <mergeCell ref="P320:P322"/>
    <mergeCell ref="Q320:Q322"/>
    <mergeCell ref="R320:R322"/>
    <mergeCell ref="P315:P319"/>
    <mergeCell ref="Q315:Q319"/>
    <mergeCell ref="R315:R319"/>
    <mergeCell ref="K315:K319"/>
    <mergeCell ref="L315:L319"/>
    <mergeCell ref="M315:M319"/>
    <mergeCell ref="Q323:Q325"/>
    <mergeCell ref="P326:P328"/>
    <mergeCell ref="Q326:Q328"/>
    <mergeCell ref="N312:N314"/>
    <mergeCell ref="O312:O314"/>
    <mergeCell ref="F320:F322"/>
    <mergeCell ref="G320:G322"/>
    <mergeCell ref="C312:C314"/>
    <mergeCell ref="F312:F314"/>
    <mergeCell ref="C326:C328"/>
    <mergeCell ref="B326:B328"/>
    <mergeCell ref="K330:K332"/>
    <mergeCell ref="L330:L332"/>
    <mergeCell ref="M330:M332"/>
    <mergeCell ref="N330:N332"/>
    <mergeCell ref="O330:O332"/>
    <mergeCell ref="E323:E325"/>
    <mergeCell ref="D320:D322"/>
    <mergeCell ref="E320:E322"/>
    <mergeCell ref="B573:B579"/>
    <mergeCell ref="C573:C579"/>
    <mergeCell ref="A573:A579"/>
    <mergeCell ref="A521:A523"/>
    <mergeCell ref="B521:B523"/>
    <mergeCell ref="C521:C523"/>
    <mergeCell ref="D521:D523"/>
    <mergeCell ref="E521:E523"/>
    <mergeCell ref="G552:G558"/>
    <mergeCell ref="F552:F558"/>
    <mergeCell ref="A552:A558"/>
    <mergeCell ref="B552:B558"/>
    <mergeCell ref="C552:C558"/>
    <mergeCell ref="A494:A498"/>
    <mergeCell ref="B494:B498"/>
    <mergeCell ref="C494:C498"/>
    <mergeCell ref="D494:D498"/>
    <mergeCell ref="E494:E498"/>
    <mergeCell ref="F494:F498"/>
    <mergeCell ref="G494:G498"/>
    <mergeCell ref="C538:C544"/>
    <mergeCell ref="B538:B544"/>
    <mergeCell ref="D535:D537"/>
    <mergeCell ref="C535:C537"/>
    <mergeCell ref="B535:B537"/>
    <mergeCell ref="A535:A537"/>
    <mergeCell ref="F538:F544"/>
    <mergeCell ref="A506:A507"/>
    <mergeCell ref="B506:B507"/>
    <mergeCell ref="F511:F515"/>
    <mergeCell ref="D511:D515"/>
    <mergeCell ref="K390:K394"/>
    <mergeCell ref="F395:F399"/>
    <mergeCell ref="G395:G399"/>
    <mergeCell ref="H395:H399"/>
    <mergeCell ref="E395:E399"/>
    <mergeCell ref="D395:D399"/>
    <mergeCell ref="C395:C399"/>
    <mergeCell ref="H390:H394"/>
    <mergeCell ref="G461:G465"/>
    <mergeCell ref="H466:H470"/>
    <mergeCell ref="E466:E470"/>
    <mergeCell ref="G436:G440"/>
    <mergeCell ref="H436:H440"/>
    <mergeCell ref="E477:E479"/>
    <mergeCell ref="F477:F479"/>
    <mergeCell ref="B395:B399"/>
    <mergeCell ref="H494:H498"/>
    <mergeCell ref="C483:C485"/>
    <mergeCell ref="A486:A488"/>
    <mergeCell ref="K480:K482"/>
    <mergeCell ref="K528:K534"/>
    <mergeCell ref="K483:K485"/>
    <mergeCell ref="L483:L485"/>
    <mergeCell ref="M483:M485"/>
    <mergeCell ref="N483:N485"/>
    <mergeCell ref="K494:K498"/>
    <mergeCell ref="L494:L498"/>
    <mergeCell ref="R483:R485"/>
    <mergeCell ref="S483:S485"/>
    <mergeCell ref="U446:U450"/>
    <mergeCell ref="S477:S479"/>
    <mergeCell ref="R489:R493"/>
    <mergeCell ref="S489:S493"/>
    <mergeCell ref="T489:T493"/>
    <mergeCell ref="T461:T465"/>
    <mergeCell ref="K466:K470"/>
    <mergeCell ref="L466:L470"/>
    <mergeCell ref="M466:M470"/>
    <mergeCell ref="K477:K479"/>
    <mergeCell ref="L477:L479"/>
    <mergeCell ref="M477:M479"/>
    <mergeCell ref="U489:U493"/>
    <mergeCell ref="U477:U479"/>
    <mergeCell ref="U472:U476"/>
    <mergeCell ref="P461:P465"/>
    <mergeCell ref="Q461:Q465"/>
    <mergeCell ref="R461:R465"/>
    <mergeCell ref="R477:R479"/>
    <mergeCell ref="T477:T479"/>
    <mergeCell ref="P472:P476"/>
    <mergeCell ref="Q472:Q476"/>
    <mergeCell ref="R472:R476"/>
    <mergeCell ref="O461:O465"/>
    <mergeCell ref="T390:T394"/>
    <mergeCell ref="D483:D485"/>
    <mergeCell ref="E483:E485"/>
    <mergeCell ref="G483:G485"/>
    <mergeCell ref="H483:H485"/>
    <mergeCell ref="G489:G493"/>
    <mergeCell ref="H489:H493"/>
    <mergeCell ref="B356:B363"/>
    <mergeCell ref="C356:C363"/>
    <mergeCell ref="F333:F346"/>
    <mergeCell ref="G333:G346"/>
    <mergeCell ref="H333:H346"/>
    <mergeCell ref="A466:A470"/>
    <mergeCell ref="B466:B470"/>
    <mergeCell ref="A461:A465"/>
    <mergeCell ref="H408:H411"/>
    <mergeCell ref="D350:D363"/>
    <mergeCell ref="E350:E363"/>
    <mergeCell ref="F350:F363"/>
    <mergeCell ref="G350:G363"/>
    <mergeCell ref="A480:A482"/>
    <mergeCell ref="B480:B482"/>
    <mergeCell ref="C480:C482"/>
    <mergeCell ref="D480:D482"/>
    <mergeCell ref="G480:G482"/>
    <mergeCell ref="E480:E482"/>
    <mergeCell ref="F480:F482"/>
    <mergeCell ref="C390:C394"/>
    <mergeCell ref="B390:B394"/>
    <mergeCell ref="E365:E369"/>
    <mergeCell ref="E441:E445"/>
    <mergeCell ref="G390:G394"/>
    <mergeCell ref="N240:N243"/>
    <mergeCell ref="N333:N346"/>
    <mergeCell ref="S252:S255"/>
    <mergeCell ref="M244:M247"/>
    <mergeCell ref="N244:N247"/>
    <mergeCell ref="Q350:Q363"/>
    <mergeCell ref="P312:P314"/>
    <mergeCell ref="Q312:Q314"/>
    <mergeCell ref="R312:R314"/>
    <mergeCell ref="S312:S314"/>
    <mergeCell ref="T312:T314"/>
    <mergeCell ref="E244:E247"/>
    <mergeCell ref="F244:F247"/>
    <mergeCell ref="S385:S389"/>
    <mergeCell ref="R431:R435"/>
    <mergeCell ref="R347:R349"/>
    <mergeCell ref="S347:S349"/>
    <mergeCell ref="T347:T349"/>
    <mergeCell ref="Q385:Q389"/>
    <mergeCell ref="R385:R389"/>
    <mergeCell ref="S256:S259"/>
    <mergeCell ref="Q333:Q346"/>
    <mergeCell ref="O252:O255"/>
    <mergeCell ref="N350:N363"/>
    <mergeCell ref="O350:O363"/>
    <mergeCell ref="E333:E346"/>
    <mergeCell ref="K260:K266"/>
    <mergeCell ref="L260:L266"/>
    <mergeCell ref="G260:G266"/>
    <mergeCell ref="H260:H266"/>
    <mergeCell ref="L256:L259"/>
    <mergeCell ref="N248:N251"/>
    <mergeCell ref="U385:U389"/>
    <mergeCell ref="O385:O389"/>
    <mergeCell ref="P385:P389"/>
    <mergeCell ref="Q260:Q266"/>
    <mergeCell ref="R260:R266"/>
    <mergeCell ref="S260:S266"/>
    <mergeCell ref="T260:T266"/>
    <mergeCell ref="M236:M239"/>
    <mergeCell ref="O256:O259"/>
    <mergeCell ref="P256:P259"/>
    <mergeCell ref="R350:R363"/>
    <mergeCell ref="S350:S363"/>
    <mergeCell ref="U350:U363"/>
    <mergeCell ref="V350:V363"/>
    <mergeCell ref="U333:U346"/>
    <mergeCell ref="V333:V346"/>
    <mergeCell ref="U347:U349"/>
    <mergeCell ref="V347:V349"/>
    <mergeCell ref="T236:T239"/>
    <mergeCell ref="U236:U239"/>
    <mergeCell ref="V236:V239"/>
    <mergeCell ref="M260:M266"/>
    <mergeCell ref="N260:N266"/>
    <mergeCell ref="V248:V251"/>
    <mergeCell ref="S333:S346"/>
    <mergeCell ref="M256:M259"/>
    <mergeCell ref="V252:V255"/>
    <mergeCell ref="R365:R369"/>
    <mergeCell ref="S365:S369"/>
    <mergeCell ref="S326:S328"/>
    <mergeCell ref="S370:S374"/>
    <mergeCell ref="M248:M251"/>
    <mergeCell ref="A248:A251"/>
    <mergeCell ref="B248:B251"/>
    <mergeCell ref="C248:C251"/>
    <mergeCell ref="D248:D251"/>
    <mergeCell ref="E248:E251"/>
    <mergeCell ref="F248:F251"/>
    <mergeCell ref="G248:G251"/>
    <mergeCell ref="H248:H251"/>
    <mergeCell ref="A244:A247"/>
    <mergeCell ref="B244:B247"/>
    <mergeCell ref="C244:C247"/>
    <mergeCell ref="V240:V243"/>
    <mergeCell ref="S244:S247"/>
    <mergeCell ref="T244:T247"/>
    <mergeCell ref="U244:U247"/>
    <mergeCell ref="V244:V247"/>
    <mergeCell ref="D244:D247"/>
    <mergeCell ref="A240:A243"/>
    <mergeCell ref="B240:B243"/>
    <mergeCell ref="C240:C243"/>
    <mergeCell ref="D240:D243"/>
    <mergeCell ref="E240:E243"/>
    <mergeCell ref="F240:F243"/>
    <mergeCell ref="G240:G243"/>
    <mergeCell ref="H240:H243"/>
    <mergeCell ref="O240:O243"/>
    <mergeCell ref="P240:P243"/>
    <mergeCell ref="O244:O247"/>
    <mergeCell ref="P244:P247"/>
    <mergeCell ref="Q244:Q247"/>
    <mergeCell ref="R244:R247"/>
    <mergeCell ref="L248:L251"/>
    <mergeCell ref="B236:B239"/>
    <mergeCell ref="C236:C239"/>
    <mergeCell ref="D236:D239"/>
    <mergeCell ref="E236:E239"/>
    <mergeCell ref="F236:F239"/>
    <mergeCell ref="G236:G239"/>
    <mergeCell ref="H236:H239"/>
    <mergeCell ref="K236:K239"/>
    <mergeCell ref="L236:L239"/>
    <mergeCell ref="A236:A239"/>
    <mergeCell ref="O333:O346"/>
    <mergeCell ref="P333:P346"/>
    <mergeCell ref="C268:C289"/>
    <mergeCell ref="D268:D289"/>
    <mergeCell ref="E268:E289"/>
    <mergeCell ref="C290:C311"/>
    <mergeCell ref="D290:D311"/>
    <mergeCell ref="F290:F311"/>
    <mergeCell ref="G290:G311"/>
    <mergeCell ref="H290:H311"/>
    <mergeCell ref="K290:K311"/>
    <mergeCell ref="L290:L311"/>
    <mergeCell ref="M290:M311"/>
    <mergeCell ref="N290:N311"/>
    <mergeCell ref="K240:K243"/>
    <mergeCell ref="L240:L243"/>
    <mergeCell ref="M240:M243"/>
    <mergeCell ref="L244:L247"/>
    <mergeCell ref="N236:N239"/>
    <mergeCell ref="L252:L255"/>
    <mergeCell ref="M252:M255"/>
    <mergeCell ref="N252:N255"/>
    <mergeCell ref="A223:A230"/>
    <mergeCell ref="K223:K230"/>
    <mergeCell ref="L223:L230"/>
    <mergeCell ref="M223:M230"/>
    <mergeCell ref="C231:C234"/>
    <mergeCell ref="B231:B234"/>
    <mergeCell ref="A231:A234"/>
    <mergeCell ref="F223:F230"/>
    <mergeCell ref="E223:E230"/>
    <mergeCell ref="D223:D230"/>
    <mergeCell ref="L231:L234"/>
    <mergeCell ref="M231:M234"/>
    <mergeCell ref="C223:C230"/>
    <mergeCell ref="R203:R207"/>
    <mergeCell ref="S203:S207"/>
    <mergeCell ref="O231:O234"/>
    <mergeCell ref="P231:P234"/>
    <mergeCell ref="Q231:Q234"/>
    <mergeCell ref="F210:F213"/>
    <mergeCell ref="K210:K213"/>
    <mergeCell ref="L210:L213"/>
    <mergeCell ref="M210:M213"/>
    <mergeCell ref="N210:N213"/>
    <mergeCell ref="G231:G234"/>
    <mergeCell ref="F231:F234"/>
    <mergeCell ref="D231:D234"/>
    <mergeCell ref="E231:E234"/>
    <mergeCell ref="R231:R234"/>
    <mergeCell ref="S231:S234"/>
    <mergeCell ref="G223:G230"/>
    <mergeCell ref="H223:H230"/>
    <mergeCell ref="N223:N230"/>
    <mergeCell ref="P210:P213"/>
    <mergeCell ref="Q210:Q213"/>
    <mergeCell ref="R210:R213"/>
    <mergeCell ref="S210:S213"/>
    <mergeCell ref="P183:P186"/>
    <mergeCell ref="E187:E196"/>
    <mergeCell ref="F187:F196"/>
    <mergeCell ref="K208:K209"/>
    <mergeCell ref="L208:L209"/>
    <mergeCell ref="M208:M209"/>
    <mergeCell ref="N208:N209"/>
    <mergeCell ref="O208:O209"/>
    <mergeCell ref="P208:P209"/>
    <mergeCell ref="Q208:Q209"/>
    <mergeCell ref="R208:R209"/>
    <mergeCell ref="S208:S209"/>
    <mergeCell ref="H231:H234"/>
    <mergeCell ref="K231:K234"/>
    <mergeCell ref="N231:N234"/>
    <mergeCell ref="S183:S186"/>
    <mergeCell ref="O223:O230"/>
    <mergeCell ref="P223:P230"/>
    <mergeCell ref="Q223:Q230"/>
    <mergeCell ref="R223:R230"/>
    <mergeCell ref="S223:S230"/>
    <mergeCell ref="O214:O221"/>
    <mergeCell ref="P214:P221"/>
    <mergeCell ref="N183:N186"/>
    <mergeCell ref="O183:O186"/>
    <mergeCell ref="Q214:Q221"/>
    <mergeCell ref="R214:R221"/>
    <mergeCell ref="S214:S221"/>
    <mergeCell ref="A187:A196"/>
    <mergeCell ref="B187:B196"/>
    <mergeCell ref="A183:A186"/>
    <mergeCell ref="Q183:Q186"/>
    <mergeCell ref="R183:R186"/>
    <mergeCell ref="C187:C196"/>
    <mergeCell ref="G187:G196"/>
    <mergeCell ref="H187:H196"/>
    <mergeCell ref="K187:K196"/>
    <mergeCell ref="L187:L196"/>
    <mergeCell ref="M187:M196"/>
    <mergeCell ref="N187:N196"/>
    <mergeCell ref="R187:R196"/>
    <mergeCell ref="S187:S196"/>
    <mergeCell ref="T187:T196"/>
    <mergeCell ref="T183:T186"/>
    <mergeCell ref="S159:S163"/>
    <mergeCell ref="T159:T163"/>
    <mergeCell ref="D187:D196"/>
    <mergeCell ref="S164:S168"/>
    <mergeCell ref="Q164:Q168"/>
    <mergeCell ref="R164:R168"/>
    <mergeCell ref="B183:B186"/>
    <mergeCell ref="C183:C186"/>
    <mergeCell ref="D183:D186"/>
    <mergeCell ref="E183:E186"/>
    <mergeCell ref="F183:F186"/>
    <mergeCell ref="G183:G186"/>
    <mergeCell ref="H183:H186"/>
    <mergeCell ref="K183:K186"/>
    <mergeCell ref="L183:L186"/>
    <mergeCell ref="M183:M186"/>
    <mergeCell ref="U159:U163"/>
    <mergeCell ref="V159:V163"/>
    <mergeCell ref="G174:G182"/>
    <mergeCell ref="D174:D182"/>
    <mergeCell ref="E174:E182"/>
    <mergeCell ref="F174:F182"/>
    <mergeCell ref="H174:H182"/>
    <mergeCell ref="K174:K182"/>
    <mergeCell ref="L174:L182"/>
    <mergeCell ref="M174:M182"/>
    <mergeCell ref="N174:N182"/>
    <mergeCell ref="O174:O182"/>
    <mergeCell ref="P174:P182"/>
    <mergeCell ref="Q174:Q182"/>
    <mergeCell ref="R174:R182"/>
    <mergeCell ref="S174:S182"/>
    <mergeCell ref="S169:S173"/>
    <mergeCell ref="T169:T173"/>
    <mergeCell ref="U169:U173"/>
    <mergeCell ref="V169:V173"/>
    <mergeCell ref="H164:H168"/>
    <mergeCell ref="G164:G168"/>
    <mergeCell ref="D164:D168"/>
    <mergeCell ref="E164:E168"/>
    <mergeCell ref="K164:K168"/>
    <mergeCell ref="L164:L168"/>
    <mergeCell ref="M164:M168"/>
    <mergeCell ref="N164:N168"/>
    <mergeCell ref="O164:O168"/>
    <mergeCell ref="P164:P168"/>
    <mergeCell ref="U164:U168"/>
    <mergeCell ref="V164:V168"/>
    <mergeCell ref="S119:S123"/>
    <mergeCell ref="R114:R118"/>
    <mergeCell ref="S114:S118"/>
    <mergeCell ref="T139:T144"/>
    <mergeCell ref="U139:U144"/>
    <mergeCell ref="V139:V144"/>
    <mergeCell ref="A129:A131"/>
    <mergeCell ref="B129:B131"/>
    <mergeCell ref="C129:C131"/>
    <mergeCell ref="D159:D163"/>
    <mergeCell ref="E159:E163"/>
    <mergeCell ref="F159:F163"/>
    <mergeCell ref="G159:G163"/>
    <mergeCell ref="H159:H163"/>
    <mergeCell ref="K159:K163"/>
    <mergeCell ref="L159:L163"/>
    <mergeCell ref="M159:M163"/>
    <mergeCell ref="F145:F151"/>
    <mergeCell ref="D145:D151"/>
    <mergeCell ref="E145:E151"/>
    <mergeCell ref="P145:P151"/>
    <mergeCell ref="Q145:Q151"/>
    <mergeCell ref="R145:R151"/>
    <mergeCell ref="S145:S151"/>
    <mergeCell ref="T145:T151"/>
    <mergeCell ref="N159:N163"/>
    <mergeCell ref="O159:O163"/>
    <mergeCell ref="V145:V151"/>
    <mergeCell ref="M145:M151"/>
    <mergeCell ref="U145:U151"/>
    <mergeCell ref="G145:G151"/>
    <mergeCell ref="H145:H151"/>
    <mergeCell ref="H100:H102"/>
    <mergeCell ref="K100:K102"/>
    <mergeCell ref="L100:L102"/>
    <mergeCell ref="M100:M102"/>
    <mergeCell ref="N100:N102"/>
    <mergeCell ref="O100:O102"/>
    <mergeCell ref="G100:G102"/>
    <mergeCell ref="T43:T44"/>
    <mergeCell ref="U43:U44"/>
    <mergeCell ref="P59:P71"/>
    <mergeCell ref="Q59:Q71"/>
    <mergeCell ref="R59:R71"/>
    <mergeCell ref="S59:S71"/>
    <mergeCell ref="T59:T71"/>
    <mergeCell ref="P80:P87"/>
    <mergeCell ref="Q80:Q87"/>
    <mergeCell ref="R80:R87"/>
    <mergeCell ref="S80:S87"/>
    <mergeCell ref="T88:T91"/>
    <mergeCell ref="U88:U91"/>
    <mergeCell ref="T100:T102"/>
    <mergeCell ref="K45:K47"/>
    <mergeCell ref="L45:L47"/>
    <mergeCell ref="M45:M47"/>
    <mergeCell ref="N45:N47"/>
    <mergeCell ref="O45:O47"/>
    <mergeCell ref="P45:P47"/>
    <mergeCell ref="Q45:Q47"/>
    <mergeCell ref="R45:R47"/>
    <mergeCell ref="T72:T79"/>
    <mergeCell ref="U72:U79"/>
    <mergeCell ref="T80:T87"/>
    <mergeCell ref="O56:O58"/>
    <mergeCell ref="N56:N58"/>
    <mergeCell ref="V72:V79"/>
    <mergeCell ref="L59:L71"/>
    <mergeCell ref="M59:M71"/>
    <mergeCell ref="N59:N71"/>
    <mergeCell ref="O59:O71"/>
    <mergeCell ref="V43:V44"/>
    <mergeCell ref="R48:R50"/>
    <mergeCell ref="S48:S50"/>
    <mergeCell ref="T48:T50"/>
    <mergeCell ref="U48:U50"/>
    <mergeCell ref="V48:V50"/>
    <mergeCell ref="T56:T58"/>
    <mergeCell ref="U56:U58"/>
    <mergeCell ref="V56:V58"/>
    <mergeCell ref="P56:P58"/>
    <mergeCell ref="Q56:Q58"/>
    <mergeCell ref="R56:R58"/>
    <mergeCell ref="S56:S58"/>
    <mergeCell ref="L56:L58"/>
    <mergeCell ref="M56:M58"/>
    <mergeCell ref="L43:L44"/>
    <mergeCell ref="M43:M44"/>
    <mergeCell ref="N43:N44"/>
    <mergeCell ref="O43:O44"/>
    <mergeCell ref="S43:S44"/>
    <mergeCell ref="U45:U47"/>
    <mergeCell ref="V45:V47"/>
    <mergeCell ref="U59:U71"/>
    <mergeCell ref="U51:U55"/>
    <mergeCell ref="V51:V55"/>
    <mergeCell ref="B51:B55"/>
    <mergeCell ref="A51:A55"/>
    <mergeCell ref="O51:O55"/>
    <mergeCell ref="P51:P55"/>
    <mergeCell ref="Q51:Q55"/>
    <mergeCell ref="R51:R55"/>
    <mergeCell ref="S51:S55"/>
    <mergeCell ref="T51:T55"/>
    <mergeCell ref="F51:F55"/>
    <mergeCell ref="E51:E55"/>
    <mergeCell ref="D51:D55"/>
    <mergeCell ref="C51:C55"/>
    <mergeCell ref="G51:G55"/>
    <mergeCell ref="H51:H55"/>
    <mergeCell ref="K51:K55"/>
    <mergeCell ref="L51:L55"/>
    <mergeCell ref="M51:M55"/>
    <mergeCell ref="N51:N55"/>
    <mergeCell ref="N35:N36"/>
    <mergeCell ref="O35:O36"/>
    <mergeCell ref="G35:G36"/>
    <mergeCell ref="S37:S39"/>
    <mergeCell ref="T37:T39"/>
    <mergeCell ref="U37:U39"/>
    <mergeCell ref="V37:V39"/>
    <mergeCell ref="Q37:Q39"/>
    <mergeCell ref="R37:R39"/>
    <mergeCell ref="A35:A36"/>
    <mergeCell ref="B35:B36"/>
    <mergeCell ref="C35:C36"/>
    <mergeCell ref="D35:D36"/>
    <mergeCell ref="E35:E36"/>
    <mergeCell ref="F35:F36"/>
    <mergeCell ref="A37:A39"/>
    <mergeCell ref="B37:B39"/>
    <mergeCell ref="C37:C39"/>
    <mergeCell ref="D37:D39"/>
    <mergeCell ref="E37:E39"/>
    <mergeCell ref="F37:F39"/>
    <mergeCell ref="G37:G39"/>
    <mergeCell ref="H37:H39"/>
    <mergeCell ref="K37:K39"/>
    <mergeCell ref="L37:L39"/>
    <mergeCell ref="M37:M39"/>
    <mergeCell ref="M119:M123"/>
    <mergeCell ref="G119:G123"/>
    <mergeCell ref="B145:B148"/>
    <mergeCell ref="C145:C148"/>
    <mergeCell ref="A145:A148"/>
    <mergeCell ref="A149:A151"/>
    <mergeCell ref="B149:B151"/>
    <mergeCell ref="C149:C151"/>
    <mergeCell ref="L153:L158"/>
    <mergeCell ref="B153:B158"/>
    <mergeCell ref="C153:C158"/>
    <mergeCell ref="D153:D158"/>
    <mergeCell ref="E153:E158"/>
    <mergeCell ref="F153:F158"/>
    <mergeCell ref="G153:G158"/>
    <mergeCell ref="H153:H158"/>
    <mergeCell ref="K153:K158"/>
    <mergeCell ref="B119:B123"/>
    <mergeCell ref="C119:C123"/>
    <mergeCell ref="L119:L123"/>
    <mergeCell ref="M153:M158"/>
    <mergeCell ref="A114:A115"/>
    <mergeCell ref="B114:B118"/>
    <mergeCell ref="D114:D118"/>
    <mergeCell ref="E114:E118"/>
    <mergeCell ref="F114:F118"/>
    <mergeCell ref="G114:G118"/>
    <mergeCell ref="H114:H118"/>
    <mergeCell ref="K114:K118"/>
    <mergeCell ref="A116:A118"/>
    <mergeCell ref="K145:K151"/>
    <mergeCell ref="D119:D123"/>
    <mergeCell ref="E119:E123"/>
    <mergeCell ref="F119:F123"/>
    <mergeCell ref="O187:O196"/>
    <mergeCell ref="P187:P196"/>
    <mergeCell ref="Q187:Q196"/>
    <mergeCell ref="N114:N118"/>
    <mergeCell ref="O114:O118"/>
    <mergeCell ref="P114:P118"/>
    <mergeCell ref="Q114:Q118"/>
    <mergeCell ref="N119:N123"/>
    <mergeCell ref="O119:O123"/>
    <mergeCell ref="P119:P123"/>
    <mergeCell ref="Q119:Q123"/>
    <mergeCell ref="H119:H123"/>
    <mergeCell ref="K119:K123"/>
    <mergeCell ref="N129:N135"/>
    <mergeCell ref="O129:O135"/>
    <mergeCell ref="P129:P135"/>
    <mergeCell ref="Q129:Q135"/>
    <mergeCell ref="L114:L118"/>
    <mergeCell ref="M114:M118"/>
    <mergeCell ref="V489:V493"/>
    <mergeCell ref="V326:V328"/>
    <mergeCell ref="K431:K435"/>
    <mergeCell ref="L431:L435"/>
    <mergeCell ref="M431:M435"/>
    <mergeCell ref="P426:P430"/>
    <mergeCell ref="V415:V419"/>
    <mergeCell ref="T421:T425"/>
    <mergeCell ref="T426:T430"/>
    <mergeCell ref="U483:U485"/>
    <mergeCell ref="U461:U465"/>
    <mergeCell ref="K326:K328"/>
    <mergeCell ref="K333:K346"/>
    <mergeCell ref="N415:N419"/>
    <mergeCell ref="O415:O419"/>
    <mergeCell ref="P415:P419"/>
    <mergeCell ref="Q415:Q419"/>
    <mergeCell ref="M350:M363"/>
    <mergeCell ref="S472:S476"/>
    <mergeCell ref="N472:N476"/>
    <mergeCell ref="O472:O476"/>
    <mergeCell ref="K403:K407"/>
    <mergeCell ref="L403:L407"/>
    <mergeCell ref="M403:M407"/>
    <mergeCell ref="N403:N407"/>
    <mergeCell ref="O403:O407"/>
    <mergeCell ref="V385:V389"/>
    <mergeCell ref="R333:R346"/>
    <mergeCell ref="N326:N328"/>
    <mergeCell ref="O326:O328"/>
    <mergeCell ref="P451:P455"/>
    <mergeCell ref="P350:P363"/>
    <mergeCell ref="A3:A4"/>
    <mergeCell ref="B3:B4"/>
    <mergeCell ref="C3:C4"/>
    <mergeCell ref="D3:D4"/>
    <mergeCell ref="E3:E4"/>
    <mergeCell ref="K3:K4"/>
    <mergeCell ref="L3:L4"/>
    <mergeCell ref="M3:M4"/>
    <mergeCell ref="N3:N4"/>
    <mergeCell ref="O3:O4"/>
    <mergeCell ref="P3:P4"/>
    <mergeCell ref="Q3:Q4"/>
    <mergeCell ref="R3:R4"/>
    <mergeCell ref="L30:L33"/>
    <mergeCell ref="M30:M33"/>
    <mergeCell ref="N30:N33"/>
    <mergeCell ref="A100:A102"/>
    <mergeCell ref="E30:E33"/>
    <mergeCell ref="K30:K33"/>
    <mergeCell ref="H43:H44"/>
    <mergeCell ref="P43:P44"/>
    <mergeCell ref="Q43:Q44"/>
    <mergeCell ref="R43:R44"/>
    <mergeCell ref="K43:K44"/>
    <mergeCell ref="H45:H47"/>
    <mergeCell ref="G45:G47"/>
    <mergeCell ref="F45:F47"/>
    <mergeCell ref="E43:E44"/>
    <mergeCell ref="A48:A50"/>
    <mergeCell ref="B48:B50"/>
    <mergeCell ref="C48:C50"/>
    <mergeCell ref="D48:D50"/>
    <mergeCell ref="R119:R123"/>
    <mergeCell ref="Q159:Q163"/>
    <mergeCell ref="R159:R163"/>
    <mergeCell ref="O30:O33"/>
    <mergeCell ref="G18:G20"/>
    <mergeCell ref="H18:H20"/>
    <mergeCell ref="T3:T4"/>
    <mergeCell ref="A9:A17"/>
    <mergeCell ref="B9:B17"/>
    <mergeCell ref="C9:C17"/>
    <mergeCell ref="D9:D17"/>
    <mergeCell ref="E9:E17"/>
    <mergeCell ref="K9:K17"/>
    <mergeCell ref="L9:L17"/>
    <mergeCell ref="M9:M17"/>
    <mergeCell ref="N9:N17"/>
    <mergeCell ref="O9:O17"/>
    <mergeCell ref="P9:P17"/>
    <mergeCell ref="Q9:Q17"/>
    <mergeCell ref="R9:R17"/>
    <mergeCell ref="S9:S17"/>
    <mergeCell ref="T9:T17"/>
    <mergeCell ref="F3:F4"/>
    <mergeCell ref="G3:G4"/>
    <mergeCell ref="H3:H4"/>
    <mergeCell ref="F30:F33"/>
    <mergeCell ref="G30:G33"/>
    <mergeCell ref="H30:H33"/>
    <mergeCell ref="A30:A33"/>
    <mergeCell ref="B30:B33"/>
    <mergeCell ref="C30:C33"/>
    <mergeCell ref="D30:D33"/>
    <mergeCell ref="V9:V17"/>
    <mergeCell ref="A18:A20"/>
    <mergeCell ref="B18:B20"/>
    <mergeCell ref="C18:C20"/>
    <mergeCell ref="D18:D20"/>
    <mergeCell ref="E18:E20"/>
    <mergeCell ref="K18:K20"/>
    <mergeCell ref="L18:L20"/>
    <mergeCell ref="M18:M20"/>
    <mergeCell ref="N18:N20"/>
    <mergeCell ref="O18:O20"/>
    <mergeCell ref="P18:P20"/>
    <mergeCell ref="Q18:Q20"/>
    <mergeCell ref="R18:R20"/>
    <mergeCell ref="S18:S20"/>
    <mergeCell ref="T18:T20"/>
    <mergeCell ref="U18:U20"/>
    <mergeCell ref="V18:V20"/>
    <mergeCell ref="U9:U17"/>
    <mergeCell ref="F9:F17"/>
    <mergeCell ref="G9:G17"/>
    <mergeCell ref="H9:H17"/>
    <mergeCell ref="F18:F20"/>
    <mergeCell ref="R40:R42"/>
    <mergeCell ref="S40:S42"/>
    <mergeCell ref="T30:T33"/>
    <mergeCell ref="U30:U33"/>
    <mergeCell ref="V30:V33"/>
    <mergeCell ref="A21:A24"/>
    <mergeCell ref="B21:B24"/>
    <mergeCell ref="C21:C24"/>
    <mergeCell ref="D21:D24"/>
    <mergeCell ref="E21:E24"/>
    <mergeCell ref="K21:K24"/>
    <mergeCell ref="L21:L24"/>
    <mergeCell ref="M21:M24"/>
    <mergeCell ref="N21:N24"/>
    <mergeCell ref="O21:O24"/>
    <mergeCell ref="P21:P24"/>
    <mergeCell ref="Q21:Q24"/>
    <mergeCell ref="R21:R24"/>
    <mergeCell ref="S21:S24"/>
    <mergeCell ref="T21:T24"/>
    <mergeCell ref="U21:U24"/>
    <mergeCell ref="V21:V24"/>
    <mergeCell ref="F21:F24"/>
    <mergeCell ref="G21:G24"/>
    <mergeCell ref="H21:H24"/>
    <mergeCell ref="U27:U29"/>
    <mergeCell ref="V27:V29"/>
    <mergeCell ref="U35:U36"/>
    <mergeCell ref="H35:H36"/>
    <mergeCell ref="K35:K36"/>
    <mergeCell ref="L35:L36"/>
    <mergeCell ref="M35:M36"/>
    <mergeCell ref="C43:C44"/>
    <mergeCell ref="D43:D44"/>
    <mergeCell ref="E48:E50"/>
    <mergeCell ref="D59:D71"/>
    <mergeCell ref="E59:E71"/>
    <mergeCell ref="F59:F71"/>
    <mergeCell ref="G59:G71"/>
    <mergeCell ref="H59:H71"/>
    <mergeCell ref="K59:K71"/>
    <mergeCell ref="A45:A47"/>
    <mergeCell ref="P30:P33"/>
    <mergeCell ref="Q30:Q33"/>
    <mergeCell ref="R30:R33"/>
    <mergeCell ref="S30:S33"/>
    <mergeCell ref="F48:F50"/>
    <mergeCell ref="G48:G50"/>
    <mergeCell ref="H48:H50"/>
    <mergeCell ref="K48:K50"/>
    <mergeCell ref="L48:L50"/>
    <mergeCell ref="M48:M50"/>
    <mergeCell ref="N48:N50"/>
    <mergeCell ref="O48:O50"/>
    <mergeCell ref="P48:P50"/>
    <mergeCell ref="Q48:Q50"/>
    <mergeCell ref="N37:N39"/>
    <mergeCell ref="O37:O39"/>
    <mergeCell ref="P37:P39"/>
    <mergeCell ref="F43:F44"/>
    <mergeCell ref="G43:G44"/>
    <mergeCell ref="O40:O42"/>
    <mergeCell ref="P40:P42"/>
    <mergeCell ref="Q40:Q42"/>
    <mergeCell ref="R92:R94"/>
    <mergeCell ref="S92:S94"/>
    <mergeCell ref="A80:A87"/>
    <mergeCell ref="B80:B87"/>
    <mergeCell ref="C80:C87"/>
    <mergeCell ref="D80:D87"/>
    <mergeCell ref="E80:E87"/>
    <mergeCell ref="F80:F87"/>
    <mergeCell ref="G80:G87"/>
    <mergeCell ref="H80:H87"/>
    <mergeCell ref="K80:K87"/>
    <mergeCell ref="L80:L87"/>
    <mergeCell ref="M80:M87"/>
    <mergeCell ref="N80:N87"/>
    <mergeCell ref="O80:O87"/>
    <mergeCell ref="A43:A44"/>
    <mergeCell ref="B43:B44"/>
    <mergeCell ref="A63:A66"/>
    <mergeCell ref="B63:B66"/>
    <mergeCell ref="C63:C66"/>
    <mergeCell ref="A67:A71"/>
    <mergeCell ref="B67:B71"/>
    <mergeCell ref="C67:C71"/>
    <mergeCell ref="A56:A58"/>
    <mergeCell ref="B56:B58"/>
    <mergeCell ref="C56:C58"/>
    <mergeCell ref="D56:D58"/>
    <mergeCell ref="E56:E58"/>
    <mergeCell ref="F56:F58"/>
    <mergeCell ref="G56:G58"/>
    <mergeCell ref="H56:H58"/>
    <mergeCell ref="K56:K58"/>
    <mergeCell ref="N72:N79"/>
    <mergeCell ref="O72:O79"/>
    <mergeCell ref="P72:P79"/>
    <mergeCell ref="Q72:Q79"/>
    <mergeCell ref="R72:R79"/>
    <mergeCell ref="S72:S79"/>
    <mergeCell ref="T103:T112"/>
    <mergeCell ref="U103:U112"/>
    <mergeCell ref="V103:V112"/>
    <mergeCell ref="F100:F102"/>
    <mergeCell ref="D100:D102"/>
    <mergeCell ref="E100:E102"/>
    <mergeCell ref="P100:P102"/>
    <mergeCell ref="Q100:Q102"/>
    <mergeCell ref="R100:R102"/>
    <mergeCell ref="S100:S102"/>
    <mergeCell ref="U80:U87"/>
    <mergeCell ref="D88:D91"/>
    <mergeCell ref="E88:E91"/>
    <mergeCell ref="F88:F91"/>
    <mergeCell ref="G88:G91"/>
    <mergeCell ref="H88:H91"/>
    <mergeCell ref="K88:K91"/>
    <mergeCell ref="L88:L91"/>
    <mergeCell ref="M88:M91"/>
    <mergeCell ref="N88:N91"/>
    <mergeCell ref="O88:O91"/>
    <mergeCell ref="P88:P91"/>
    <mergeCell ref="Q88:Q91"/>
    <mergeCell ref="R88:R91"/>
    <mergeCell ref="S88:S91"/>
    <mergeCell ref="E92:E94"/>
    <mergeCell ref="V92:V94"/>
    <mergeCell ref="D95:D99"/>
    <mergeCell ref="E95:E99"/>
    <mergeCell ref="F95:F99"/>
    <mergeCell ref="G95:G99"/>
    <mergeCell ref="H95:H99"/>
    <mergeCell ref="K95:K99"/>
    <mergeCell ref="L95:L99"/>
    <mergeCell ref="M95:M99"/>
    <mergeCell ref="N95:N99"/>
    <mergeCell ref="O95:O99"/>
    <mergeCell ref="P95:P99"/>
    <mergeCell ref="Q95:Q99"/>
    <mergeCell ref="R95:R99"/>
    <mergeCell ref="S95:S99"/>
    <mergeCell ref="A92:A94"/>
    <mergeCell ref="B92:B94"/>
    <mergeCell ref="C92:C94"/>
    <mergeCell ref="D92:D94"/>
    <mergeCell ref="T95:T99"/>
    <mergeCell ref="U95:U99"/>
    <mergeCell ref="V95:V99"/>
    <mergeCell ref="F92:F94"/>
    <mergeCell ref="G92:G94"/>
    <mergeCell ref="H92:H94"/>
    <mergeCell ref="K92:K94"/>
    <mergeCell ref="L92:L94"/>
    <mergeCell ref="M92:M94"/>
    <mergeCell ref="N92:N94"/>
    <mergeCell ref="O92:O94"/>
    <mergeCell ref="P92:P94"/>
    <mergeCell ref="Q92:Q94"/>
    <mergeCell ref="A59:A60"/>
    <mergeCell ref="B59:B60"/>
    <mergeCell ref="C59:C60"/>
    <mergeCell ref="A61:A62"/>
    <mergeCell ref="B61:B62"/>
    <mergeCell ref="C61:C62"/>
    <mergeCell ref="A103:A112"/>
    <mergeCell ref="B103:B112"/>
    <mergeCell ref="C103:C112"/>
    <mergeCell ref="D103:D112"/>
    <mergeCell ref="E103:E112"/>
    <mergeCell ref="F103:F112"/>
    <mergeCell ref="G103:G112"/>
    <mergeCell ref="H103:H112"/>
    <mergeCell ref="K103:K112"/>
    <mergeCell ref="L103:L112"/>
    <mergeCell ref="M103:M112"/>
    <mergeCell ref="B89:B91"/>
    <mergeCell ref="C89:C91"/>
    <mergeCell ref="F72:F79"/>
    <mergeCell ref="G72:G79"/>
    <mergeCell ref="H72:H79"/>
    <mergeCell ref="K72:K79"/>
    <mergeCell ref="L72:L79"/>
    <mergeCell ref="M72:M79"/>
    <mergeCell ref="C100:C102"/>
    <mergeCell ref="B100:B102"/>
    <mergeCell ref="A72:A79"/>
    <mergeCell ref="B72:B79"/>
    <mergeCell ref="C72:C79"/>
    <mergeCell ref="D72:D79"/>
    <mergeCell ref="E72:E79"/>
    <mergeCell ref="N103:N112"/>
    <mergeCell ref="O103:O112"/>
    <mergeCell ref="P103:P112"/>
    <mergeCell ref="A89:A91"/>
    <mergeCell ref="Q103:Q112"/>
    <mergeCell ref="R103:R112"/>
    <mergeCell ref="S103:S112"/>
    <mergeCell ref="A95:A99"/>
    <mergeCell ref="T92:T94"/>
    <mergeCell ref="U92:U94"/>
    <mergeCell ref="R129:R135"/>
    <mergeCell ref="S129:S135"/>
    <mergeCell ref="T129:T135"/>
    <mergeCell ref="U129:U135"/>
    <mergeCell ref="V129:V135"/>
    <mergeCell ref="B95:B99"/>
    <mergeCell ref="C95:C99"/>
    <mergeCell ref="C114:C118"/>
    <mergeCell ref="T119:T123"/>
    <mergeCell ref="U119:U123"/>
    <mergeCell ref="V119:V123"/>
    <mergeCell ref="A124:A128"/>
    <mergeCell ref="B124:B128"/>
    <mergeCell ref="C124:C128"/>
    <mergeCell ref="D124:D128"/>
    <mergeCell ref="E124:E128"/>
    <mergeCell ref="F124:F128"/>
    <mergeCell ref="G124:G128"/>
    <mergeCell ref="H124:H128"/>
    <mergeCell ref="K124:K128"/>
    <mergeCell ref="L124:L128"/>
    <mergeCell ref="M124:M128"/>
    <mergeCell ref="N124:N128"/>
    <mergeCell ref="O124:O128"/>
    <mergeCell ref="P124:P128"/>
    <mergeCell ref="Q124:Q128"/>
    <mergeCell ref="R124:R128"/>
    <mergeCell ref="S124:S128"/>
    <mergeCell ref="T124:T128"/>
    <mergeCell ref="U124:U128"/>
    <mergeCell ref="V124:V128"/>
    <mergeCell ref="A119:A123"/>
    <mergeCell ref="T136:T138"/>
    <mergeCell ref="U136:U138"/>
    <mergeCell ref="R139:R144"/>
    <mergeCell ref="S139:S144"/>
    <mergeCell ref="A132:A135"/>
    <mergeCell ref="B132:B135"/>
    <mergeCell ref="C132:C135"/>
    <mergeCell ref="A136:A138"/>
    <mergeCell ref="B136:B138"/>
    <mergeCell ref="C136:C138"/>
    <mergeCell ref="D136:D138"/>
    <mergeCell ref="E136:E138"/>
    <mergeCell ref="F136:F138"/>
    <mergeCell ref="G136:G138"/>
    <mergeCell ref="H136:H138"/>
    <mergeCell ref="K136:K138"/>
    <mergeCell ref="L136:L138"/>
    <mergeCell ref="M136:M138"/>
    <mergeCell ref="N136:N138"/>
    <mergeCell ref="O136:O138"/>
    <mergeCell ref="P136:P138"/>
    <mergeCell ref="Q136:Q138"/>
    <mergeCell ref="R136:R138"/>
    <mergeCell ref="S136:S138"/>
    <mergeCell ref="D129:D135"/>
    <mergeCell ref="E129:E135"/>
    <mergeCell ref="F129:F135"/>
    <mergeCell ref="G129:G135"/>
    <mergeCell ref="H129:H135"/>
    <mergeCell ref="K129:K135"/>
    <mergeCell ref="L129:L135"/>
    <mergeCell ref="M129:M135"/>
    <mergeCell ref="N153:N158"/>
    <mergeCell ref="O153:O158"/>
    <mergeCell ref="P153:P158"/>
    <mergeCell ref="Q153:Q158"/>
    <mergeCell ref="A139:A144"/>
    <mergeCell ref="B139:B144"/>
    <mergeCell ref="C139:C144"/>
    <mergeCell ref="D139:D144"/>
    <mergeCell ref="E139:E144"/>
    <mergeCell ref="F139:F144"/>
    <mergeCell ref="G139:G144"/>
    <mergeCell ref="H139:H144"/>
    <mergeCell ref="K139:K144"/>
    <mergeCell ref="L139:L144"/>
    <mergeCell ref="M139:M144"/>
    <mergeCell ref="N139:N144"/>
    <mergeCell ref="O139:O144"/>
    <mergeCell ref="P139:P144"/>
    <mergeCell ref="Q139:Q144"/>
    <mergeCell ref="L145:L151"/>
    <mergeCell ref="A157:A158"/>
    <mergeCell ref="A153:A156"/>
    <mergeCell ref="R153:R158"/>
    <mergeCell ref="S153:S158"/>
    <mergeCell ref="A159:A163"/>
    <mergeCell ref="B159:B163"/>
    <mergeCell ref="C159:C163"/>
    <mergeCell ref="A170:A173"/>
    <mergeCell ref="B170:B173"/>
    <mergeCell ref="C170:C173"/>
    <mergeCell ref="N145:N151"/>
    <mergeCell ref="O145:O151"/>
    <mergeCell ref="P159:P163"/>
    <mergeCell ref="A403:A407"/>
    <mergeCell ref="B403:B407"/>
    <mergeCell ref="C403:C407"/>
    <mergeCell ref="D403:D407"/>
    <mergeCell ref="D169:D173"/>
    <mergeCell ref="E169:E173"/>
    <mergeCell ref="F169:F173"/>
    <mergeCell ref="G169:G173"/>
    <mergeCell ref="H169:H173"/>
    <mergeCell ref="K169:K173"/>
    <mergeCell ref="L169:L173"/>
    <mergeCell ref="M169:M173"/>
    <mergeCell ref="N169:N173"/>
    <mergeCell ref="O169:O173"/>
    <mergeCell ref="P169:P173"/>
    <mergeCell ref="Q169:Q173"/>
    <mergeCell ref="R169:R173"/>
    <mergeCell ref="A174:A182"/>
    <mergeCell ref="B174:B182"/>
    <mergeCell ref="C174:C182"/>
    <mergeCell ref="C198:C202"/>
    <mergeCell ref="D198:D202"/>
    <mergeCell ref="E198:E202"/>
    <mergeCell ref="F198:F202"/>
    <mergeCell ref="G198:G202"/>
    <mergeCell ref="H198:H202"/>
    <mergeCell ref="K198:K202"/>
    <mergeCell ref="L198:L202"/>
    <mergeCell ref="M198:M202"/>
    <mergeCell ref="N198:N202"/>
    <mergeCell ref="O198:O202"/>
    <mergeCell ref="P198:P202"/>
    <mergeCell ref="Q198:Q202"/>
    <mergeCell ref="R198:R202"/>
    <mergeCell ref="S198:S202"/>
    <mergeCell ref="T208:T209"/>
    <mergeCell ref="A203:A207"/>
    <mergeCell ref="B203:B207"/>
    <mergeCell ref="C203:C207"/>
    <mergeCell ref="D203:D207"/>
    <mergeCell ref="E203:E207"/>
    <mergeCell ref="F203:F207"/>
    <mergeCell ref="G203:G207"/>
    <mergeCell ref="H203:H207"/>
    <mergeCell ref="K203:K207"/>
    <mergeCell ref="L203:L207"/>
    <mergeCell ref="M203:M207"/>
    <mergeCell ref="N203:N207"/>
    <mergeCell ref="O203:O207"/>
    <mergeCell ref="P203:P207"/>
    <mergeCell ref="Q203:Q207"/>
    <mergeCell ref="A208:A209"/>
    <mergeCell ref="B208:B209"/>
    <mergeCell ref="C208:C209"/>
    <mergeCell ref="D208:D209"/>
    <mergeCell ref="E208:E209"/>
    <mergeCell ref="F208:F209"/>
    <mergeCell ref="G208:G209"/>
    <mergeCell ref="H208:H209"/>
    <mergeCell ref="A214:A221"/>
    <mergeCell ref="B214:B221"/>
    <mergeCell ref="C214:C221"/>
    <mergeCell ref="D214:D221"/>
    <mergeCell ref="E214:E221"/>
    <mergeCell ref="F214:F221"/>
    <mergeCell ref="G214:G221"/>
    <mergeCell ref="H214:H221"/>
    <mergeCell ref="K214:K221"/>
    <mergeCell ref="A210:A213"/>
    <mergeCell ref="C210:C213"/>
    <mergeCell ref="B210:B213"/>
    <mergeCell ref="G210:G213"/>
    <mergeCell ref="H210:H213"/>
    <mergeCell ref="T214:T221"/>
    <mergeCell ref="Q240:Q243"/>
    <mergeCell ref="R240:R243"/>
    <mergeCell ref="S240:S243"/>
    <mergeCell ref="T240:T243"/>
    <mergeCell ref="U240:U243"/>
    <mergeCell ref="T223:T230"/>
    <mergeCell ref="V231:V234"/>
    <mergeCell ref="U231:U234"/>
    <mergeCell ref="N256:N259"/>
    <mergeCell ref="H256:H259"/>
    <mergeCell ref="U210:U213"/>
    <mergeCell ref="V210:V213"/>
    <mergeCell ref="E210:E213"/>
    <mergeCell ref="D210:D213"/>
    <mergeCell ref="W240:W243"/>
    <mergeCell ref="X240:X243"/>
    <mergeCell ref="T248:T251"/>
    <mergeCell ref="U248:U251"/>
    <mergeCell ref="W236:W239"/>
    <mergeCell ref="X236:X239"/>
    <mergeCell ref="W244:W247"/>
    <mergeCell ref="X244:X247"/>
    <mergeCell ref="O236:O239"/>
    <mergeCell ref="P236:P239"/>
    <mergeCell ref="Q236:Q239"/>
    <mergeCell ref="O248:O251"/>
    <mergeCell ref="P248:P251"/>
    <mergeCell ref="Q248:Q251"/>
    <mergeCell ref="R248:R251"/>
    <mergeCell ref="S248:S251"/>
    <mergeCell ref="K248:K251"/>
    <mergeCell ref="E256:E259"/>
    <mergeCell ref="F256:F259"/>
    <mergeCell ref="G256:G259"/>
    <mergeCell ref="K256:K259"/>
    <mergeCell ref="U214:U221"/>
    <mergeCell ref="V214:V221"/>
    <mergeCell ref="F252:F255"/>
    <mergeCell ref="G252:G255"/>
    <mergeCell ref="H252:H255"/>
    <mergeCell ref="K252:K255"/>
    <mergeCell ref="D370:D374"/>
    <mergeCell ref="E370:E374"/>
    <mergeCell ref="E375:E379"/>
    <mergeCell ref="D375:D379"/>
    <mergeCell ref="D380:D384"/>
    <mergeCell ref="E380:E384"/>
    <mergeCell ref="A260:A266"/>
    <mergeCell ref="B260:B266"/>
    <mergeCell ref="C260:C266"/>
    <mergeCell ref="A256:A259"/>
    <mergeCell ref="B256:B259"/>
    <mergeCell ref="C256:C259"/>
    <mergeCell ref="D256:D259"/>
    <mergeCell ref="A252:A255"/>
    <mergeCell ref="B252:B255"/>
    <mergeCell ref="K350:K363"/>
    <mergeCell ref="D365:D369"/>
    <mergeCell ref="A312:A314"/>
    <mergeCell ref="A339:A346"/>
    <mergeCell ref="B339:B346"/>
    <mergeCell ref="C339:C346"/>
    <mergeCell ref="A356:A363"/>
    <mergeCell ref="A347:A349"/>
    <mergeCell ref="B347:B349"/>
    <mergeCell ref="C347:C349"/>
    <mergeCell ref="D347:D349"/>
    <mergeCell ref="E347:E349"/>
    <mergeCell ref="K268:K289"/>
    <mergeCell ref="O347:O349"/>
    <mergeCell ref="H472:H476"/>
    <mergeCell ref="F472:F476"/>
    <mergeCell ref="E472:E476"/>
    <mergeCell ref="D472:D476"/>
    <mergeCell ref="A408:A411"/>
    <mergeCell ref="A426:A430"/>
    <mergeCell ref="K426:K430"/>
    <mergeCell ref="L426:L430"/>
    <mergeCell ref="A431:A434"/>
    <mergeCell ref="C436:C440"/>
    <mergeCell ref="D431:D435"/>
    <mergeCell ref="F461:F465"/>
    <mergeCell ref="B426:B430"/>
    <mergeCell ref="A421:A425"/>
    <mergeCell ref="B421:B425"/>
    <mergeCell ref="C421:C425"/>
    <mergeCell ref="D421:D425"/>
    <mergeCell ref="E421:E425"/>
    <mergeCell ref="L421:L425"/>
    <mergeCell ref="L415:L419"/>
    <mergeCell ref="H441:H445"/>
    <mergeCell ref="G441:G445"/>
    <mergeCell ref="F441:F445"/>
    <mergeCell ref="A441:A445"/>
    <mergeCell ref="B441:B445"/>
    <mergeCell ref="A385:A386"/>
    <mergeCell ref="A400:A402"/>
    <mergeCell ref="B400:B402"/>
    <mergeCell ref="A412:A414"/>
    <mergeCell ref="D436:D440"/>
    <mergeCell ref="E436:E440"/>
    <mergeCell ref="F436:F440"/>
    <mergeCell ref="K408:K411"/>
    <mergeCell ref="P500:P504"/>
    <mergeCell ref="G500:G504"/>
    <mergeCell ref="H500:H504"/>
    <mergeCell ref="F500:F504"/>
    <mergeCell ref="E500:E504"/>
    <mergeCell ref="Q500:Q504"/>
    <mergeCell ref="A500:A504"/>
    <mergeCell ref="E489:E493"/>
    <mergeCell ref="D489:D493"/>
    <mergeCell ref="C489:C493"/>
    <mergeCell ref="B489:B493"/>
    <mergeCell ref="A489:A493"/>
    <mergeCell ref="F483:F485"/>
    <mergeCell ref="C500:C504"/>
    <mergeCell ref="B500:B504"/>
    <mergeCell ref="D500:D504"/>
    <mergeCell ref="K489:K493"/>
    <mergeCell ref="L489:L493"/>
    <mergeCell ref="M489:M493"/>
    <mergeCell ref="N489:N493"/>
    <mergeCell ref="O489:O493"/>
    <mergeCell ref="A477:A479"/>
    <mergeCell ref="B477:B479"/>
    <mergeCell ref="P489:P493"/>
    <mergeCell ref="A483:A485"/>
    <mergeCell ref="B483:B485"/>
    <mergeCell ref="H480:H482"/>
    <mergeCell ref="F489:F493"/>
    <mergeCell ref="M494:M498"/>
    <mergeCell ref="N494:N498"/>
    <mergeCell ref="O494:O498"/>
    <mergeCell ref="P494:P498"/>
    <mergeCell ref="Q494:Q498"/>
    <mergeCell ref="R494:R498"/>
    <mergeCell ref="U400:U402"/>
    <mergeCell ref="V400:V402"/>
    <mergeCell ref="F415:F419"/>
    <mergeCell ref="B408:B411"/>
    <mergeCell ref="E408:E411"/>
    <mergeCell ref="P408:P411"/>
    <mergeCell ref="E412:E414"/>
    <mergeCell ref="D412:D414"/>
    <mergeCell ref="C412:C414"/>
    <mergeCell ref="B412:B414"/>
    <mergeCell ref="O408:O411"/>
    <mergeCell ref="L408:L411"/>
    <mergeCell ref="V426:V430"/>
    <mergeCell ref="M472:M476"/>
    <mergeCell ref="K415:K419"/>
    <mergeCell ref="B439:B440"/>
    <mergeCell ref="E431:E435"/>
    <mergeCell ref="B431:B434"/>
    <mergeCell ref="A439:A440"/>
    <mergeCell ref="H461:H465"/>
    <mergeCell ref="F466:F470"/>
    <mergeCell ref="G466:G470"/>
    <mergeCell ref="G505:G507"/>
    <mergeCell ref="H505:H507"/>
    <mergeCell ref="K505:K507"/>
    <mergeCell ref="L505:L507"/>
    <mergeCell ref="M505:M507"/>
    <mergeCell ref="N505:N507"/>
    <mergeCell ref="P400:P402"/>
    <mergeCell ref="Q400:Q402"/>
    <mergeCell ref="R400:R402"/>
    <mergeCell ref="U505:U507"/>
    <mergeCell ref="V505:V507"/>
    <mergeCell ref="G400:G402"/>
    <mergeCell ref="H400:H402"/>
    <mergeCell ref="R500:R504"/>
    <mergeCell ref="S500:S504"/>
    <mergeCell ref="T500:T504"/>
    <mergeCell ref="U500:U504"/>
    <mergeCell ref="V500:V504"/>
    <mergeCell ref="K500:K504"/>
    <mergeCell ref="T415:T419"/>
    <mergeCell ref="O500:O504"/>
    <mergeCell ref="N466:N470"/>
    <mergeCell ref="G421:G425"/>
    <mergeCell ref="O421:O425"/>
    <mergeCell ref="O505:O507"/>
    <mergeCell ref="P505:P507"/>
    <mergeCell ref="Q505:Q507"/>
    <mergeCell ref="R505:R507"/>
    <mergeCell ref="S505:S507"/>
    <mergeCell ref="T505:T507"/>
    <mergeCell ref="U412:U414"/>
    <mergeCell ref="V412:V414"/>
    <mergeCell ref="D505:D507"/>
    <mergeCell ref="E505:E507"/>
    <mergeCell ref="F505:F507"/>
    <mergeCell ref="C505:C507"/>
    <mergeCell ref="S400:S402"/>
    <mergeCell ref="T400:T402"/>
    <mergeCell ref="K400:K402"/>
    <mergeCell ref="L400:L402"/>
    <mergeCell ref="M400:M402"/>
    <mergeCell ref="N400:N402"/>
    <mergeCell ref="O400:O402"/>
    <mergeCell ref="N477:N479"/>
    <mergeCell ref="O477:O479"/>
    <mergeCell ref="D415:D419"/>
    <mergeCell ref="C415:C419"/>
    <mergeCell ref="Q412:Q414"/>
    <mergeCell ref="R412:R414"/>
    <mergeCell ref="S412:S414"/>
    <mergeCell ref="T412:T414"/>
    <mergeCell ref="H486:H488"/>
    <mergeCell ref="G486:G488"/>
    <mergeCell ref="F486:F488"/>
    <mergeCell ref="K412:K414"/>
    <mergeCell ref="L412:L414"/>
    <mergeCell ref="M412:M414"/>
    <mergeCell ref="N412:N414"/>
    <mergeCell ref="O412:O414"/>
    <mergeCell ref="P412:P414"/>
    <mergeCell ref="H412:H414"/>
    <mergeCell ref="F412:F414"/>
    <mergeCell ref="G412:G414"/>
    <mergeCell ref="D408:D411"/>
    <mergeCell ref="V508:V510"/>
    <mergeCell ref="O508:O510"/>
    <mergeCell ref="P508:P510"/>
    <mergeCell ref="Q508:Q510"/>
    <mergeCell ref="R508:R510"/>
    <mergeCell ref="S508:S510"/>
    <mergeCell ref="T508:T510"/>
    <mergeCell ref="B508:B510"/>
    <mergeCell ref="A508:A510"/>
    <mergeCell ref="K508:K510"/>
    <mergeCell ref="G508:G510"/>
    <mergeCell ref="H508:H510"/>
    <mergeCell ref="L508:L510"/>
    <mergeCell ref="M508:M510"/>
    <mergeCell ref="N508:N510"/>
    <mergeCell ref="D508:D510"/>
    <mergeCell ref="E508:E510"/>
    <mergeCell ref="F508:F510"/>
    <mergeCell ref="C508:C510"/>
    <mergeCell ref="U508:U510"/>
    <mergeCell ref="E511:E515"/>
    <mergeCell ref="C511:C515"/>
    <mergeCell ref="B511:B515"/>
    <mergeCell ref="G511:G515"/>
    <mergeCell ref="H511:H515"/>
    <mergeCell ref="R511:R515"/>
    <mergeCell ref="A516:A520"/>
    <mergeCell ref="B516:B520"/>
    <mergeCell ref="C516:C520"/>
    <mergeCell ref="D516:D520"/>
    <mergeCell ref="E516:E520"/>
    <mergeCell ref="F516:F520"/>
    <mergeCell ref="N511:N515"/>
    <mergeCell ref="O511:O515"/>
    <mergeCell ref="P511:P515"/>
    <mergeCell ref="Q511:Q515"/>
    <mergeCell ref="G516:G520"/>
    <mergeCell ref="A511:A515"/>
    <mergeCell ref="U511:U515"/>
    <mergeCell ref="V511:V515"/>
    <mergeCell ref="M516:M520"/>
    <mergeCell ref="N516:N520"/>
    <mergeCell ref="U516:U520"/>
    <mergeCell ref="V516:V520"/>
    <mergeCell ref="O516:O520"/>
    <mergeCell ref="P516:P520"/>
    <mergeCell ref="Q516:Q520"/>
    <mergeCell ref="R516:R520"/>
    <mergeCell ref="S516:S520"/>
    <mergeCell ref="T516:T520"/>
    <mergeCell ref="H516:H520"/>
    <mergeCell ref="K516:K520"/>
    <mergeCell ref="L516:L520"/>
    <mergeCell ref="K511:K515"/>
    <mergeCell ref="L511:L515"/>
    <mergeCell ref="M511:M515"/>
    <mergeCell ref="G538:G544"/>
    <mergeCell ref="H538:H544"/>
    <mergeCell ref="Q535:Q537"/>
    <mergeCell ref="S538:S544"/>
    <mergeCell ref="T538:T544"/>
    <mergeCell ref="U538:U544"/>
    <mergeCell ref="V538:V544"/>
    <mergeCell ref="G535:G537"/>
    <mergeCell ref="H535:H537"/>
    <mergeCell ref="M535:M537"/>
    <mergeCell ref="N535:N537"/>
    <mergeCell ref="O535:O537"/>
    <mergeCell ref="P535:P537"/>
    <mergeCell ref="K538:K544"/>
    <mergeCell ref="L538:L544"/>
    <mergeCell ref="M538:M544"/>
    <mergeCell ref="N538:N544"/>
    <mergeCell ref="P538:P544"/>
    <mergeCell ref="Q538:Q544"/>
    <mergeCell ref="R538:R544"/>
    <mergeCell ref="O538:O544"/>
    <mergeCell ref="R535:R537"/>
    <mergeCell ref="D545:D551"/>
    <mergeCell ref="E545:E551"/>
    <mergeCell ref="F545:F551"/>
    <mergeCell ref="C545:C551"/>
    <mergeCell ref="B545:B551"/>
    <mergeCell ref="K535:K537"/>
    <mergeCell ref="L535:L537"/>
    <mergeCell ref="A538:A544"/>
    <mergeCell ref="D538:D544"/>
    <mergeCell ref="E538:E544"/>
    <mergeCell ref="P545:P551"/>
    <mergeCell ref="Q545:Q551"/>
    <mergeCell ref="R545:R551"/>
    <mergeCell ref="V559:V563"/>
    <mergeCell ref="S545:S551"/>
    <mergeCell ref="T545:T551"/>
    <mergeCell ref="U545:U551"/>
    <mergeCell ref="V545:V551"/>
    <mergeCell ref="G559:G563"/>
    <mergeCell ref="H559:H563"/>
    <mergeCell ref="N559:N563"/>
    <mergeCell ref="O559:O563"/>
    <mergeCell ref="P559:P563"/>
    <mergeCell ref="A545:A551"/>
    <mergeCell ref="K545:K551"/>
    <mergeCell ref="L545:L551"/>
    <mergeCell ref="V552:V558"/>
    <mergeCell ref="C559:C563"/>
    <mergeCell ref="B559:B563"/>
    <mergeCell ref="S535:S537"/>
    <mergeCell ref="T535:T537"/>
    <mergeCell ref="U535:U537"/>
    <mergeCell ref="A559:A563"/>
    <mergeCell ref="H552:H558"/>
    <mergeCell ref="D552:D558"/>
    <mergeCell ref="E552:E558"/>
    <mergeCell ref="U552:U558"/>
    <mergeCell ref="K552:K558"/>
    <mergeCell ref="L552:L558"/>
    <mergeCell ref="M552:M558"/>
    <mergeCell ref="N552:N558"/>
    <mergeCell ref="O552:O558"/>
    <mergeCell ref="P552:P558"/>
    <mergeCell ref="Q552:Q558"/>
    <mergeCell ref="R552:R558"/>
    <mergeCell ref="Q559:Q563"/>
    <mergeCell ref="R559:R563"/>
    <mergeCell ref="S559:S563"/>
    <mergeCell ref="T559:T563"/>
    <mergeCell ref="U559:U563"/>
    <mergeCell ref="F559:F563"/>
    <mergeCell ref="D559:D563"/>
    <mergeCell ref="E559:E563"/>
    <mergeCell ref="K559:K563"/>
    <mergeCell ref="L559:L563"/>
    <mergeCell ref="M559:M563"/>
    <mergeCell ref="S552:S558"/>
    <mergeCell ref="B570:B572"/>
    <mergeCell ref="O580:O586"/>
    <mergeCell ref="P580:P586"/>
    <mergeCell ref="P570:P572"/>
    <mergeCell ref="O570:O572"/>
    <mergeCell ref="B564:B568"/>
    <mergeCell ref="A564:A568"/>
    <mergeCell ref="K564:K568"/>
    <mergeCell ref="F573:F579"/>
    <mergeCell ref="G573:G579"/>
    <mergeCell ref="H573:H579"/>
    <mergeCell ref="F570:F572"/>
    <mergeCell ref="H570:H572"/>
    <mergeCell ref="G564:G568"/>
    <mergeCell ref="H564:H568"/>
    <mergeCell ref="F564:F568"/>
    <mergeCell ref="D564:D568"/>
    <mergeCell ref="E564:E568"/>
    <mergeCell ref="C564:C568"/>
    <mergeCell ref="G570:G572"/>
    <mergeCell ref="A570:A572"/>
    <mergeCell ref="F580:F586"/>
    <mergeCell ref="G580:G586"/>
    <mergeCell ref="H580:H586"/>
    <mergeCell ref="E570:E572"/>
    <mergeCell ref="D570:D572"/>
    <mergeCell ref="L564:L568"/>
    <mergeCell ref="M564:M568"/>
    <mergeCell ref="N564:N568"/>
    <mergeCell ref="C580:C586"/>
    <mergeCell ref="B580:B586"/>
    <mergeCell ref="A580:A586"/>
    <mergeCell ref="O573:O579"/>
    <mergeCell ref="K570:K572"/>
    <mergeCell ref="L570:L572"/>
    <mergeCell ref="M570:M572"/>
    <mergeCell ref="N570:N572"/>
    <mergeCell ref="K573:K579"/>
    <mergeCell ref="L573:L579"/>
    <mergeCell ref="M573:M579"/>
    <mergeCell ref="N573:N579"/>
    <mergeCell ref="N580:N586"/>
    <mergeCell ref="M545:M551"/>
    <mergeCell ref="N545:N551"/>
    <mergeCell ref="O545:O551"/>
    <mergeCell ref="E535:E537"/>
    <mergeCell ref="V466:V470"/>
    <mergeCell ref="O466:O470"/>
    <mergeCell ref="P466:P470"/>
    <mergeCell ref="Q466:Q470"/>
    <mergeCell ref="R466:R470"/>
    <mergeCell ref="S466:S470"/>
    <mergeCell ref="T466:T470"/>
    <mergeCell ref="U466:U470"/>
    <mergeCell ref="H525:H527"/>
    <mergeCell ref="G525:G527"/>
    <mergeCell ref="F525:F527"/>
    <mergeCell ref="K580:K586"/>
    <mergeCell ref="L580:L586"/>
    <mergeCell ref="M580:M586"/>
    <mergeCell ref="F535:F537"/>
    <mergeCell ref="G545:G551"/>
    <mergeCell ref="H545:H551"/>
    <mergeCell ref="V535:V537"/>
    <mergeCell ref="R564:R568"/>
    <mergeCell ref="S564:S568"/>
    <mergeCell ref="T564:T568"/>
    <mergeCell ref="U564:U568"/>
    <mergeCell ref="V564:V568"/>
    <mergeCell ref="P564:P568"/>
    <mergeCell ref="Q564:Q568"/>
    <mergeCell ref="P573:P579"/>
    <mergeCell ref="E573:E579"/>
    <mergeCell ref="D573:D579"/>
    <mergeCell ref="D580:D586"/>
    <mergeCell ref="E580:E586"/>
    <mergeCell ref="D461:D465"/>
    <mergeCell ref="E461:E465"/>
    <mergeCell ref="C461:C465"/>
    <mergeCell ref="B461:B465"/>
    <mergeCell ref="E415:E419"/>
    <mergeCell ref="K461:K465"/>
    <mergeCell ref="L461:L465"/>
    <mergeCell ref="M461:M465"/>
    <mergeCell ref="N461:N465"/>
    <mergeCell ref="Q451:Q455"/>
    <mergeCell ref="R451:R455"/>
    <mergeCell ref="S451:S455"/>
    <mergeCell ref="T451:T455"/>
    <mergeCell ref="H426:H430"/>
    <mergeCell ref="G426:G430"/>
    <mergeCell ref="F426:F430"/>
    <mergeCell ref="D426:D430"/>
    <mergeCell ref="E426:E430"/>
    <mergeCell ref="C426:C430"/>
    <mergeCell ref="O564:O568"/>
    <mergeCell ref="W426:W430"/>
    <mergeCell ref="U415:U419"/>
    <mergeCell ref="R415:R419"/>
    <mergeCell ref="A451:A453"/>
    <mergeCell ref="B451:B453"/>
    <mergeCell ref="C451:C455"/>
    <mergeCell ref="D451:D455"/>
    <mergeCell ref="F451:F455"/>
    <mergeCell ref="G451:G455"/>
    <mergeCell ref="H451:H455"/>
    <mergeCell ref="K451:K455"/>
    <mergeCell ref="A454:A455"/>
    <mergeCell ref="B454:B455"/>
    <mergeCell ref="M426:M430"/>
    <mergeCell ref="N426:N430"/>
    <mergeCell ref="O426:O430"/>
    <mergeCell ref="V421:V425"/>
    <mergeCell ref="W421:W425"/>
    <mergeCell ref="U421:U425"/>
    <mergeCell ref="H421:H425"/>
    <mergeCell ref="F421:F425"/>
    <mergeCell ref="K421:K425"/>
    <mergeCell ref="M421:M425"/>
    <mergeCell ref="L451:L455"/>
    <mergeCell ref="M451:M455"/>
    <mergeCell ref="N451:N455"/>
    <mergeCell ref="O451:O455"/>
    <mergeCell ref="B415:B419"/>
    <mergeCell ref="G415:G419"/>
    <mergeCell ref="H415:H419"/>
    <mergeCell ref="S421:S425"/>
    <mergeCell ref="A415:A419"/>
    <mergeCell ref="H477:H479"/>
    <mergeCell ref="A472:A476"/>
    <mergeCell ref="B472:B476"/>
    <mergeCell ref="C472:C476"/>
    <mergeCell ref="K472:K476"/>
    <mergeCell ref="L472:L476"/>
    <mergeCell ref="G472:G476"/>
    <mergeCell ref="G477:G479"/>
    <mergeCell ref="C431:C435"/>
    <mergeCell ref="C466:C470"/>
    <mergeCell ref="D466:D470"/>
    <mergeCell ref="A456:A460"/>
    <mergeCell ref="B456:B460"/>
    <mergeCell ref="D441:D445"/>
    <mergeCell ref="E456:E460"/>
    <mergeCell ref="D456:D460"/>
    <mergeCell ref="C441:C445"/>
    <mergeCell ref="E451:E455"/>
    <mergeCell ref="C477:C479"/>
    <mergeCell ref="D477:D479"/>
    <mergeCell ref="G431:G435"/>
    <mergeCell ref="H431:H435"/>
    <mergeCell ref="F431:F435"/>
    <mergeCell ref="K441:K445"/>
    <mergeCell ref="L441:L445"/>
    <mergeCell ref="W136:W138"/>
    <mergeCell ref="W139:W144"/>
    <mergeCell ref="W145:W151"/>
    <mergeCell ref="W159:W163"/>
    <mergeCell ref="W169:W173"/>
    <mergeCell ref="W183:W186"/>
    <mergeCell ref="W187:W196"/>
    <mergeCell ref="W312:W314"/>
    <mergeCell ref="V114:V118"/>
    <mergeCell ref="U153:U158"/>
    <mergeCell ref="U174:U182"/>
    <mergeCell ref="U403:U407"/>
    <mergeCell ref="V198:V202"/>
    <mergeCell ref="W260:W266"/>
    <mergeCell ref="W333:W346"/>
    <mergeCell ref="U114:U118"/>
    <mergeCell ref="U183:U186"/>
    <mergeCell ref="V183:V186"/>
    <mergeCell ref="U187:U196"/>
    <mergeCell ref="V187:V196"/>
    <mergeCell ref="U312:U314"/>
    <mergeCell ref="V312:V314"/>
    <mergeCell ref="V390:V394"/>
    <mergeCell ref="V395:V399"/>
    <mergeCell ref="V203:V207"/>
    <mergeCell ref="U203:U207"/>
    <mergeCell ref="U323:U325"/>
    <mergeCell ref="V323:V325"/>
    <mergeCell ref="W323:W325"/>
    <mergeCell ref="W248:W251"/>
    <mergeCell ref="U223:U230"/>
    <mergeCell ref="V223:V230"/>
    <mergeCell ref="W385:W389"/>
    <mergeCell ref="W390:W394"/>
    <mergeCell ref="W347:W349"/>
    <mergeCell ref="W395:W399"/>
    <mergeCell ref="W486:W488"/>
    <mergeCell ref="W466:W470"/>
    <mergeCell ref="W477:W479"/>
    <mergeCell ref="W489:W493"/>
    <mergeCell ref="W9:W17"/>
    <mergeCell ref="W18:W20"/>
    <mergeCell ref="W21:W24"/>
    <mergeCell ref="W30:W33"/>
    <mergeCell ref="W35:W36"/>
    <mergeCell ref="W37:W39"/>
    <mergeCell ref="W43:W44"/>
    <mergeCell ref="W48:W50"/>
    <mergeCell ref="W51:W55"/>
    <mergeCell ref="W56:W58"/>
    <mergeCell ref="W59:W71"/>
    <mergeCell ref="W72:W79"/>
    <mergeCell ref="W80:W87"/>
    <mergeCell ref="W88:W91"/>
    <mergeCell ref="W92:W94"/>
    <mergeCell ref="W95:W99"/>
    <mergeCell ref="W415:W419"/>
    <mergeCell ref="W461:W465"/>
    <mergeCell ref="W412:W414"/>
    <mergeCell ref="W45:W47"/>
    <mergeCell ref="W100:W102"/>
    <mergeCell ref="W408:W411"/>
    <mergeCell ref="W124:W128"/>
    <mergeCell ref="W129:W135"/>
    <mergeCell ref="W535:W537"/>
    <mergeCell ref="W538:W544"/>
    <mergeCell ref="W545:W551"/>
    <mergeCell ref="W559:W563"/>
    <mergeCell ref="W552:W558"/>
    <mergeCell ref="W564:W568"/>
    <mergeCell ref="X9:X17"/>
    <mergeCell ref="X18:X20"/>
    <mergeCell ref="X21:X24"/>
    <mergeCell ref="X30:X33"/>
    <mergeCell ref="X35:X36"/>
    <mergeCell ref="X37:X39"/>
    <mergeCell ref="X43:X44"/>
    <mergeCell ref="X48:X50"/>
    <mergeCell ref="X51:X55"/>
    <mergeCell ref="X56:X58"/>
    <mergeCell ref="X59:X71"/>
    <mergeCell ref="X72:X79"/>
    <mergeCell ref="X80:X87"/>
    <mergeCell ref="X88:X91"/>
    <mergeCell ref="X92:X94"/>
    <mergeCell ref="W326:W328"/>
    <mergeCell ref="X350:X363"/>
    <mergeCell ref="X385:X389"/>
    <mergeCell ref="X390:X394"/>
    <mergeCell ref="X395:X399"/>
    <mergeCell ref="W103:W112"/>
    <mergeCell ref="W119:W123"/>
    <mergeCell ref="W494:W498"/>
    <mergeCell ref="W472:W476"/>
    <mergeCell ref="W500:W504"/>
    <mergeCell ref="X95:X99"/>
    <mergeCell ref="X100:X102"/>
    <mergeCell ref="X103:X112"/>
    <mergeCell ref="X119:X123"/>
    <mergeCell ref="X124:X128"/>
    <mergeCell ref="X129:X135"/>
    <mergeCell ref="X136:X138"/>
    <mergeCell ref="X139:X144"/>
    <mergeCell ref="X145:X151"/>
    <mergeCell ref="X159:X163"/>
    <mergeCell ref="X169:X173"/>
    <mergeCell ref="X183:X186"/>
    <mergeCell ref="X559:X563"/>
    <mergeCell ref="X505:X507"/>
    <mergeCell ref="X494:X498"/>
    <mergeCell ref="X421:X425"/>
    <mergeCell ref="X426:X430"/>
    <mergeCell ref="X408:X411"/>
    <mergeCell ref="X412:X414"/>
    <mergeCell ref="X461:X465"/>
    <mergeCell ref="X477:X479"/>
    <mergeCell ref="X415:X419"/>
    <mergeCell ref="X466:X470"/>
    <mergeCell ref="X472:X476"/>
    <mergeCell ref="X486:X488"/>
    <mergeCell ref="X552:X558"/>
    <mergeCell ref="X248:X251"/>
    <mergeCell ref="X252:X255"/>
    <mergeCell ref="X375:X379"/>
    <mergeCell ref="X365:X369"/>
    <mergeCell ref="X564:X568"/>
    <mergeCell ref="Y9:Y17"/>
    <mergeCell ref="Y18:Y20"/>
    <mergeCell ref="Y21:Y24"/>
    <mergeCell ref="Y30:Y33"/>
    <mergeCell ref="Y35:Y36"/>
    <mergeCell ref="Y37:Y39"/>
    <mergeCell ref="Y43:Y44"/>
    <mergeCell ref="Y48:Y50"/>
    <mergeCell ref="Y51:Y55"/>
    <mergeCell ref="Y56:Y58"/>
    <mergeCell ref="Y59:Y71"/>
    <mergeCell ref="Y72:Y79"/>
    <mergeCell ref="Y80:Y87"/>
    <mergeCell ref="Y88:Y91"/>
    <mergeCell ref="Y92:Y94"/>
    <mergeCell ref="Y95:Y99"/>
    <mergeCell ref="X326:X328"/>
    <mergeCell ref="Y223:Y230"/>
    <mergeCell ref="Y231:Y234"/>
    <mergeCell ref="X489:X493"/>
    <mergeCell ref="X312:X314"/>
    <mergeCell ref="X214:X221"/>
    <mergeCell ref="X508:X510"/>
    <mergeCell ref="X511:X515"/>
    <mergeCell ref="X516:X520"/>
    <mergeCell ref="X535:X537"/>
    <mergeCell ref="X538:X544"/>
    <mergeCell ref="X545:X551"/>
    <mergeCell ref="X500:X504"/>
    <mergeCell ref="X400:X402"/>
    <mergeCell ref="Y100:Y102"/>
    <mergeCell ref="Y103:Y112"/>
    <mergeCell ref="Y119:Y123"/>
    <mergeCell ref="Y124:Y128"/>
    <mergeCell ref="Y129:Y135"/>
    <mergeCell ref="Y136:Y138"/>
    <mergeCell ref="Y139:Y144"/>
    <mergeCell ref="Y145:Y151"/>
    <mergeCell ref="Y159:Y163"/>
    <mergeCell ref="Y169:Y173"/>
    <mergeCell ref="Y183:Y186"/>
    <mergeCell ref="Y187:Y196"/>
    <mergeCell ref="Y208:Y209"/>
    <mergeCell ref="Y210:Y213"/>
    <mergeCell ref="Y214:Y221"/>
    <mergeCell ref="Y260:Y266"/>
    <mergeCell ref="Y333:Y346"/>
    <mergeCell ref="Y312:Y314"/>
    <mergeCell ref="Y153:Y158"/>
    <mergeCell ref="Y256:Y259"/>
    <mergeCell ref="Y323:Y325"/>
    <mergeCell ref="Y330:Y332"/>
    <mergeCell ref="Y545:Y551"/>
    <mergeCell ref="Y559:Y563"/>
    <mergeCell ref="Y489:Y493"/>
    <mergeCell ref="Y426:Y430"/>
    <mergeCell ref="Y408:Y411"/>
    <mergeCell ref="Y412:Y414"/>
    <mergeCell ref="Y461:Y465"/>
    <mergeCell ref="Y415:Y419"/>
    <mergeCell ref="Y466:Y470"/>
    <mergeCell ref="Y326:Y328"/>
    <mergeCell ref="Y486:Y488"/>
    <mergeCell ref="Y472:Y476"/>
    <mergeCell ref="Y477:Y479"/>
    <mergeCell ref="Y564:Y568"/>
    <mergeCell ref="Y500:Y504"/>
    <mergeCell ref="Y400:Y402"/>
    <mergeCell ref="Y505:Y507"/>
    <mergeCell ref="Y508:Y510"/>
    <mergeCell ref="Y511:Y515"/>
    <mergeCell ref="Y516:Y520"/>
    <mergeCell ref="Y535:Y537"/>
    <mergeCell ref="Y538:Y544"/>
    <mergeCell ref="Y494:Y498"/>
    <mergeCell ref="Y552:Y558"/>
    <mergeCell ref="Y431:Y435"/>
    <mergeCell ref="Y375:Y379"/>
    <mergeCell ref="A528:A534"/>
    <mergeCell ref="B528:B534"/>
    <mergeCell ref="C528:C534"/>
    <mergeCell ref="D528:D534"/>
    <mergeCell ref="E528:E534"/>
    <mergeCell ref="F528:F534"/>
    <mergeCell ref="G528:G534"/>
    <mergeCell ref="H528:H534"/>
    <mergeCell ref="U528:U534"/>
    <mergeCell ref="V528:V534"/>
    <mergeCell ref="W528:W534"/>
    <mergeCell ref="X528:X534"/>
    <mergeCell ref="Y528:Y534"/>
    <mergeCell ref="B277:B280"/>
    <mergeCell ref="A277:A280"/>
    <mergeCell ref="B268:B276"/>
    <mergeCell ref="A268:A276"/>
    <mergeCell ref="A281:A282"/>
    <mergeCell ref="B281:B282"/>
    <mergeCell ref="Y390:Y394"/>
    <mergeCell ref="Y395:Y399"/>
    <mergeCell ref="Y421:Y425"/>
    <mergeCell ref="X347:X349"/>
    <mergeCell ref="W508:W510"/>
    <mergeCell ref="W511:W515"/>
    <mergeCell ref="W516:W520"/>
    <mergeCell ref="W400:W402"/>
    <mergeCell ref="W505:W507"/>
    <mergeCell ref="C408:C411"/>
    <mergeCell ref="B385:B386"/>
    <mergeCell ref="A390:A394"/>
    <mergeCell ref="F390:F394"/>
    <mergeCell ref="W164:W168"/>
    <mergeCell ref="X164:X168"/>
    <mergeCell ref="Y164:Y168"/>
    <mergeCell ref="Y236:Y239"/>
    <mergeCell ref="Y240:Y243"/>
    <mergeCell ref="Y244:Y247"/>
    <mergeCell ref="Y248:Y251"/>
    <mergeCell ref="X187:X196"/>
    <mergeCell ref="X208:X209"/>
    <mergeCell ref="X210:X213"/>
    <mergeCell ref="X223:X230"/>
    <mergeCell ref="X231:X234"/>
    <mergeCell ref="X260:X266"/>
    <mergeCell ref="W208:W209"/>
    <mergeCell ref="W210:W213"/>
    <mergeCell ref="W214:W221"/>
    <mergeCell ref="W223:W230"/>
    <mergeCell ref="W231:W234"/>
    <mergeCell ref="W252:W255"/>
    <mergeCell ref="U198:U202"/>
    <mergeCell ref="E390:E394"/>
    <mergeCell ref="D390:D394"/>
    <mergeCell ref="A395:A399"/>
    <mergeCell ref="K395:K399"/>
    <mergeCell ref="N408:N411"/>
    <mergeCell ref="B283:B284"/>
    <mergeCell ref="A283:A284"/>
    <mergeCell ref="A285:A286"/>
    <mergeCell ref="B285:B286"/>
    <mergeCell ref="B288:B289"/>
    <mergeCell ref="A288:A289"/>
    <mergeCell ref="B300:B305"/>
    <mergeCell ref="A300:A305"/>
    <mergeCell ref="B295:B299"/>
    <mergeCell ref="A164:A168"/>
    <mergeCell ref="B164:B168"/>
    <mergeCell ref="F164:F168"/>
    <mergeCell ref="A387:A389"/>
    <mergeCell ref="B387:B389"/>
    <mergeCell ref="C387:C389"/>
    <mergeCell ref="N347:N349"/>
    <mergeCell ref="H320:H322"/>
    <mergeCell ref="C400:C402"/>
    <mergeCell ref="D400:D402"/>
    <mergeCell ref="E400:E402"/>
    <mergeCell ref="F400:F402"/>
    <mergeCell ref="G244:G247"/>
    <mergeCell ref="H244:H247"/>
    <mergeCell ref="K244:K247"/>
    <mergeCell ref="C252:C255"/>
    <mergeCell ref="D252:D255"/>
    <mergeCell ref="E252:E255"/>
    <mergeCell ref="S3:S4"/>
    <mergeCell ref="U3:U4"/>
    <mergeCell ref="Q27:Q29"/>
    <mergeCell ref="R27:R29"/>
    <mergeCell ref="S27:S29"/>
    <mergeCell ref="A525:A527"/>
    <mergeCell ref="B525:B527"/>
    <mergeCell ref="C525:C527"/>
    <mergeCell ref="D525:D527"/>
    <mergeCell ref="E525:E527"/>
    <mergeCell ref="U525:U527"/>
    <mergeCell ref="V525:V527"/>
    <mergeCell ref="W525:W527"/>
    <mergeCell ref="X525:X527"/>
    <mergeCell ref="Y525:Y527"/>
    <mergeCell ref="A295:A299"/>
    <mergeCell ref="B290:B294"/>
    <mergeCell ref="A290:A294"/>
    <mergeCell ref="B486:B488"/>
    <mergeCell ref="C486:C488"/>
    <mergeCell ref="D486:D488"/>
    <mergeCell ref="E486:E488"/>
    <mergeCell ref="U486:U488"/>
    <mergeCell ref="V486:V488"/>
    <mergeCell ref="X333:X346"/>
    <mergeCell ref="Y350:Y363"/>
    <mergeCell ref="Y385:Y389"/>
    <mergeCell ref="Y347:Y349"/>
    <mergeCell ref="W350:W363"/>
    <mergeCell ref="M415:M419"/>
    <mergeCell ref="L456:L460"/>
  </mergeCells>
  <conditionalFormatting sqref="A370:B377">
    <cfRule type="containsText" dxfId="26" priority="1" operator="containsText" text="Idêntico">
      <formula>NOT(ISERROR(SEARCH("Idêntico",A370)))</formula>
    </cfRule>
  </conditionalFormatting>
  <conditionalFormatting sqref="F1:F26 F30:F41 C40:E41 F43:F46 A45:E46 A330:E331 F333:F348 A347:E348 F350:F365 A366:C375 F370 D375:F375 D380:F380 A486:E486 A521:E521 C552:E552">
    <cfRule type="containsText" dxfId="25" priority="35" operator="containsText" text="Idêntico">
      <formula>NOT(ISERROR(SEARCH("Idêntico",A1)))</formula>
    </cfRule>
  </conditionalFormatting>
  <conditionalFormatting sqref="F48:F164 F385:F443 A441:E443 A446:F448 F451:F456 F461:F486 F489:F521 F524:F552 F559:F1048576">
    <cfRule type="containsText" dxfId="24" priority="34" operator="containsText" text="Idêntico">
      <formula>NOT(ISERROR(SEARCH("Idêntico",A48)))</formula>
    </cfRule>
  </conditionalFormatting>
  <conditionalFormatting sqref="F169:F331 A365:B365">
    <cfRule type="containsText" dxfId="23" priority="26" operator="containsText" text="Idêntico">
      <formula>NOT(ISERROR(SEARCH("Idêntico",A169)))</formula>
    </cfRule>
  </conditionalFormatting>
  <conditionalFormatting sqref="T34 T471:T476 T569:T1048576">
    <cfRule type="containsText" dxfId="22" priority="91" operator="containsText" text="Necessário ajuste">
      <formula>NOT(ISERROR(SEARCH("Necessário ajuste",T34)))</formula>
    </cfRule>
    <cfRule type="containsText" dxfId="21" priority="92" operator="containsText" text="Revisão Interna">
      <formula>NOT(ISERROR(SEARCH("Revisão Interna",T34)))</formula>
    </cfRule>
    <cfRule type="containsText" dxfId="20" priority="93" operator="containsText" text="Disponível para revisão com ressalvas">
      <formula>NOT(ISERROR(SEARCH("Disponível para revisão com ressalvas",T34)))</formula>
    </cfRule>
    <cfRule type="containsText" dxfId="19" priority="94" operator="containsText" text="Aprovado">
      <formula>NOT(ISERROR(SEARCH("Aprovado",T34)))</formula>
    </cfRule>
    <cfRule type="containsText" dxfId="18" priority="95" operator="containsText" text="Exclusão">
      <formula>NOT(ISERROR(SEARCH("Exclusão",T34)))</formula>
    </cfRule>
  </conditionalFormatting>
  <conditionalFormatting sqref="T34 T471:T476">
    <cfRule type="containsText" dxfId="17" priority="96" operator="containsText" text="Em elaboração">
      <formula>NOT(ISERROR(SEARCH("Em elaboração",T34)))</formula>
    </cfRule>
    <cfRule type="containsText" dxfId="16" priority="97" operator="containsText" text="Disponível para revisão">
      <formula>NOT(ISERROR(SEARCH("Disponível para revisão",T34)))</formula>
    </cfRule>
  </conditionalFormatting>
  <conditionalFormatting sqref="T499 T524 T528:T534">
    <cfRule type="containsText" dxfId="15" priority="36" operator="containsText" text="Necessário ajuste">
      <formula>NOT(ISERROR(SEARCH("Necessário ajuste",T499)))</formula>
    </cfRule>
    <cfRule type="containsText" dxfId="14" priority="37" operator="containsText" text="Revisão Interna">
      <formula>NOT(ISERROR(SEARCH("Revisão Interna",T499)))</formula>
    </cfRule>
    <cfRule type="containsText" dxfId="13" priority="38" operator="containsText" text="Disponível para revisão com ressalvas">
      <formula>NOT(ISERROR(SEARCH("Disponível para revisão com ressalvas",T499)))</formula>
    </cfRule>
    <cfRule type="containsText" dxfId="12" priority="39" operator="containsText" text="Aprovado">
      <formula>NOT(ISERROR(SEARCH("Aprovado",T499)))</formula>
    </cfRule>
    <cfRule type="containsText" dxfId="11" priority="40" operator="containsText" text="Exclusão">
      <formula>NOT(ISERROR(SEARCH("Exclusão",T499)))</formula>
    </cfRule>
    <cfRule type="containsText" dxfId="10" priority="41" operator="containsText" text="Em elaboração">
      <formula>NOT(ISERROR(SEARCH("Em elaboração",T499)))</formula>
    </cfRule>
    <cfRule type="containsText" dxfId="9" priority="42" operator="containsText" text="Disponível para revisão">
      <formula>NOT(ISERROR(SEARCH("Disponível para revisão",T499)))</formula>
    </cfRule>
  </conditionalFormatting>
  <conditionalFormatting sqref="T1:Y1">
    <cfRule type="containsText" dxfId="8" priority="43" operator="containsText" text="Necessário ajuste">
      <formula>NOT(ISERROR(SEARCH("Necessário ajuste",T1)))</formula>
    </cfRule>
    <cfRule type="containsText" dxfId="7" priority="44" operator="containsText" text="Revisão Interna">
      <formula>NOT(ISERROR(SEARCH("Revisão Interna",T1)))</formula>
    </cfRule>
    <cfRule type="containsText" dxfId="6" priority="45" operator="containsText" text="Disponível para revisão com ressalvas">
      <formula>NOT(ISERROR(SEARCH("Disponível para revisão com ressalvas",T1)))</formula>
    </cfRule>
    <cfRule type="containsText" dxfId="5" priority="46" operator="containsText" text="Aprovado">
      <formula>NOT(ISERROR(SEARCH("Aprovado",T1)))</formula>
    </cfRule>
    <cfRule type="containsText" dxfId="4" priority="47" operator="containsText" text="Exclusão">
      <formula>NOT(ISERROR(SEARCH("Exclusão",T1)))</formula>
    </cfRule>
  </conditionalFormatting>
  <dataValidations count="1">
    <dataValidation type="list" allowBlank="1" showInputMessage="1" showErrorMessage="1" sqref="T471:T476 T499 T34 T524 T528:T534" xr:uid="{E0259C00-5364-4102-BA64-877710229F64}">
      <formula1>#REF!</formula1>
    </dataValidation>
  </dataValidations>
  <pageMargins left="0.511811024" right="0.511811024" top="0.78740157499999996" bottom="0.78740157499999996" header="0.31496062000000002" footer="0.31496062000000002"/>
  <pageSetup paperSize="9" orientation="portrait" r:id="rId1"/>
  <headerFooter>
    <oddFooter>&amp;L_x000D_&amp;1#&amp;"Calibri"&amp;10&amp;K000000 Informação Pública - Instituto Unibanco</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4313A-AC0A-458B-BAF7-8A65C025F95E}">
  <sheetPr>
    <tabColor theme="5" tint="0.39997558519241921"/>
  </sheetPr>
  <dimension ref="A1:E25"/>
  <sheetViews>
    <sheetView workbookViewId="0">
      <selection activeCell="B7" sqref="B7"/>
    </sheetView>
  </sheetViews>
  <sheetFormatPr defaultColWidth="8.81640625" defaultRowHeight="13"/>
  <cols>
    <col min="1" max="1" width="27.7265625" style="6" bestFit="1" customWidth="1"/>
    <col min="2" max="2" width="12.7265625" style="6" bestFit="1" customWidth="1"/>
    <col min="3" max="4" width="8.81640625" style="6"/>
    <col min="5" max="5" width="33.81640625" style="6" bestFit="1" customWidth="1"/>
    <col min="6" max="6" width="24.7265625" style="6" bestFit="1" customWidth="1"/>
    <col min="7" max="16384" width="8.81640625" style="6"/>
  </cols>
  <sheetData>
    <row r="1" spans="1:5">
      <c r="A1" s="6" t="s">
        <v>902</v>
      </c>
      <c r="E1" s="6" t="s">
        <v>903</v>
      </c>
    </row>
    <row r="2" spans="1:5">
      <c r="A2" s="6" t="s">
        <v>904</v>
      </c>
      <c r="B2" s="6" t="s">
        <v>50</v>
      </c>
      <c r="E2" s="6" t="s">
        <v>97</v>
      </c>
    </row>
    <row r="3" spans="1:5">
      <c r="A3" s="6" t="s">
        <v>905</v>
      </c>
      <c r="B3" s="6" t="s">
        <v>161</v>
      </c>
      <c r="E3" s="6" t="s">
        <v>906</v>
      </c>
    </row>
    <row r="4" spans="1:5">
      <c r="A4" s="6" t="s">
        <v>907</v>
      </c>
      <c r="B4" s="6" t="s">
        <v>906</v>
      </c>
      <c r="E4" s="6" t="s">
        <v>908</v>
      </c>
    </row>
    <row r="5" spans="1:5">
      <c r="A5" s="6" t="s">
        <v>909</v>
      </c>
      <c r="B5" s="6" t="s">
        <v>97</v>
      </c>
      <c r="E5" s="6" t="s">
        <v>50</v>
      </c>
    </row>
    <row r="6" spans="1:5">
      <c r="A6" s="6" t="s">
        <v>910</v>
      </c>
      <c r="B6" s="6" t="s">
        <v>908</v>
      </c>
      <c r="E6" s="6" t="s">
        <v>161</v>
      </c>
    </row>
    <row r="7" spans="1:5">
      <c r="A7" s="6" t="s">
        <v>911</v>
      </c>
      <c r="B7" s="6" t="s">
        <v>912</v>
      </c>
      <c r="E7" s="6" t="s">
        <v>913</v>
      </c>
    </row>
    <row r="8" spans="1:5">
      <c r="A8" s="6" t="s">
        <v>914</v>
      </c>
      <c r="B8" s="6" t="s">
        <v>97</v>
      </c>
      <c r="E8" s="6" t="s">
        <v>915</v>
      </c>
    </row>
    <row r="9" spans="1:5">
      <c r="A9" s="6" t="s">
        <v>916</v>
      </c>
      <c r="B9" s="6" t="s">
        <v>44</v>
      </c>
      <c r="E9" s="6" t="s">
        <v>917</v>
      </c>
    </row>
    <row r="10" spans="1:5">
      <c r="E10" s="6" t="s">
        <v>918</v>
      </c>
    </row>
    <row r="11" spans="1:5">
      <c r="E11" s="6" t="s">
        <v>912</v>
      </c>
    </row>
    <row r="12" spans="1:5">
      <c r="E12" s="6" t="s">
        <v>919</v>
      </c>
    </row>
    <row r="13" spans="1:5">
      <c r="E13" s="6" t="s">
        <v>920</v>
      </c>
    </row>
    <row r="14" spans="1:5">
      <c r="E14" s="6" t="s">
        <v>921</v>
      </c>
    </row>
    <row r="15" spans="1:5">
      <c r="E15" s="6" t="s">
        <v>922</v>
      </c>
    </row>
    <row r="16" spans="1:5">
      <c r="E16" s="6" t="s">
        <v>923</v>
      </c>
    </row>
    <row r="17" spans="5:5">
      <c r="E17" s="6" t="s">
        <v>44</v>
      </c>
    </row>
    <row r="18" spans="5:5">
      <c r="E18" s="6" t="s">
        <v>924</v>
      </c>
    </row>
    <row r="19" spans="5:5">
      <c r="E19" s="6" t="s">
        <v>925</v>
      </c>
    </row>
    <row r="20" spans="5:5">
      <c r="E20" s="6" t="s">
        <v>926</v>
      </c>
    </row>
    <row r="21" spans="5:5">
      <c r="E21" s="6" t="s">
        <v>927</v>
      </c>
    </row>
    <row r="22" spans="5:5">
      <c r="E22" s="6" t="s">
        <v>928</v>
      </c>
    </row>
    <row r="23" spans="5:5">
      <c r="E23" s="6" t="s">
        <v>929</v>
      </c>
    </row>
    <row r="24" spans="5:5">
      <c r="E24" s="6" t="s">
        <v>930</v>
      </c>
    </row>
    <row r="25" spans="5:5">
      <c r="E25" s="6" t="s">
        <v>931</v>
      </c>
    </row>
  </sheetData>
  <pageMargins left="0.511811024" right="0.511811024" top="0.78740157499999996" bottom="0.78740157499999996" header="0.31496062000000002" footer="0.31496062000000002"/>
  <headerFooter>
    <oddHeader>&amp;L&amp;"Calibri"&amp;10&amp;KFF0000 Conteúdo não deve deixar o sistema de arquivos da empresa&amp;1#_x000D_</oddHeader>
    <oddFooter>&amp;L_x000D_&amp;1#&amp;"Calibri"&amp;10&amp;K000000 Informação Pública - Instituto Unibanco</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2EDD9-C686-4FA2-90D3-91FB019F11BD}">
  <sheetPr>
    <tabColor rgb="FF00B050"/>
  </sheetPr>
  <dimension ref="A1:B7"/>
  <sheetViews>
    <sheetView workbookViewId="0">
      <selection activeCell="B7" sqref="B7"/>
    </sheetView>
  </sheetViews>
  <sheetFormatPr defaultColWidth="8.81640625" defaultRowHeight="13"/>
  <cols>
    <col min="1" max="1" width="23.81640625" style="6" customWidth="1"/>
    <col min="2" max="2" width="16.81640625" style="6" customWidth="1"/>
    <col min="3" max="16384" width="8.81640625" style="6"/>
  </cols>
  <sheetData>
    <row r="1" spans="1:2">
      <c r="A1" s="6" t="s">
        <v>932</v>
      </c>
      <c r="B1" s="6" t="s">
        <v>933</v>
      </c>
    </row>
    <row r="2" spans="1:2">
      <c r="A2" s="6" t="s">
        <v>934</v>
      </c>
      <c r="B2" s="6" t="s">
        <v>66</v>
      </c>
    </row>
    <row r="3" spans="1:2">
      <c r="A3" s="6" t="s">
        <v>935</v>
      </c>
      <c r="B3" s="6" t="s">
        <v>936</v>
      </c>
    </row>
    <row r="4" spans="1:2">
      <c r="A4" s="6" t="s">
        <v>937</v>
      </c>
      <c r="B4" s="6" t="s">
        <v>938</v>
      </c>
    </row>
    <row r="5" spans="1:2">
      <c r="A5" s="6" t="s">
        <v>911</v>
      </c>
      <c r="B5" s="6" t="s">
        <v>939</v>
      </c>
    </row>
    <row r="6" spans="1:2">
      <c r="A6" s="6" t="s">
        <v>940</v>
      </c>
      <c r="B6" s="6" t="s">
        <v>941</v>
      </c>
    </row>
    <row r="7" spans="1:2">
      <c r="A7" s="6" t="s">
        <v>942</v>
      </c>
      <c r="B7" s="6" t="s">
        <v>45</v>
      </c>
    </row>
  </sheetData>
  <pageMargins left="0.511811024" right="0.511811024" top="0.78740157499999996" bottom="0.78740157499999996" header="0.31496062000000002" footer="0.31496062000000002"/>
  <headerFooter>
    <oddFooter>&amp;L_x000D_&amp;1#&amp;"Calibri"&amp;10&amp;K000000 Informação Pública - Instituto Unibanco</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009EC-045E-434A-8D13-712F5ED151F0}">
  <sheetPr>
    <tabColor rgb="FFFFC000"/>
  </sheetPr>
  <dimension ref="A1:B7"/>
  <sheetViews>
    <sheetView workbookViewId="0">
      <selection activeCell="B7" sqref="B7"/>
    </sheetView>
  </sheetViews>
  <sheetFormatPr defaultColWidth="8.81640625" defaultRowHeight="13"/>
  <cols>
    <col min="1" max="1" width="26.1796875" style="6" bestFit="1" customWidth="1"/>
    <col min="2" max="2" width="74.81640625" style="11" bestFit="1" customWidth="1"/>
    <col min="3" max="16384" width="8.81640625" style="6"/>
  </cols>
  <sheetData>
    <row r="1" spans="1:2" ht="27.65" customHeight="1">
      <c r="A1" s="7" t="s">
        <v>943</v>
      </c>
      <c r="B1" s="8" t="s">
        <v>944</v>
      </c>
    </row>
    <row r="2" spans="1:2" ht="24.65" customHeight="1">
      <c r="A2" s="9" t="s">
        <v>19</v>
      </c>
      <c r="B2" s="10" t="s">
        <v>945</v>
      </c>
    </row>
    <row r="3" spans="1:2" ht="39">
      <c r="A3" s="9" t="s">
        <v>946</v>
      </c>
      <c r="B3" s="10" t="s">
        <v>947</v>
      </c>
    </row>
    <row r="4" spans="1:2" ht="26">
      <c r="A4" s="9" t="s">
        <v>27</v>
      </c>
      <c r="B4" s="10" t="s">
        <v>948</v>
      </c>
    </row>
    <row r="5" spans="1:2" ht="39">
      <c r="A5" s="9" t="s">
        <v>949</v>
      </c>
      <c r="B5" s="10" t="s">
        <v>950</v>
      </c>
    </row>
    <row r="6" spans="1:2" ht="26">
      <c r="A6" s="9" t="s">
        <v>29</v>
      </c>
      <c r="B6" s="10" t="s">
        <v>951</v>
      </c>
    </row>
    <row r="7" spans="1:2" ht="39">
      <c r="A7" s="9" t="s">
        <v>952</v>
      </c>
      <c r="B7" s="10" t="s">
        <v>953</v>
      </c>
    </row>
  </sheetData>
  <pageMargins left="0.7" right="0.7" top="0.75" bottom="0.75" header="0.3" footer="0.3"/>
  <pageSetup paperSize="9" orientation="portrait" r:id="rId1"/>
  <headerFooter>
    <oddFooter>&amp;L_x000D_&amp;1#&amp;"Calibri"&amp;10&amp;K000000 Informação Pública - Instituto Unibanco</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0B6FE-4209-4600-84CC-B1610AFF1522}">
  <dimension ref="A1:E140"/>
  <sheetViews>
    <sheetView topLeftCell="A64" workbookViewId="0">
      <selection activeCell="C74" sqref="C74"/>
    </sheetView>
  </sheetViews>
  <sheetFormatPr defaultRowHeight="14.5"/>
  <cols>
    <col min="1" max="1" width="14.81640625" style="69" customWidth="1"/>
    <col min="2" max="2" width="153.453125" style="70" customWidth="1"/>
    <col min="3" max="3" width="14.81640625" style="74" customWidth="1"/>
    <col min="4" max="4" width="14.81640625" style="69" customWidth="1"/>
    <col min="5" max="5" width="21.7265625" customWidth="1"/>
  </cols>
  <sheetData>
    <row r="1" spans="1:5">
      <c r="A1" s="67" t="s">
        <v>16</v>
      </c>
      <c r="B1" s="68" t="s">
        <v>954</v>
      </c>
      <c r="C1" s="67" t="s">
        <v>18</v>
      </c>
      <c r="D1" s="67" t="s">
        <v>955</v>
      </c>
    </row>
    <row r="2" spans="1:5" ht="15.5">
      <c r="A2" s="69" t="s">
        <v>758</v>
      </c>
      <c r="B2" s="70" t="s">
        <v>956</v>
      </c>
      <c r="C2" s="73" t="s">
        <v>225</v>
      </c>
      <c r="D2" s="69" t="str">
        <f>IFERROR(IF(VLOOKUP(A2,Questionário!A:A,1,FALSE)=A2, "Ok","Ausente"), "Ausente")</f>
        <v>Ok</v>
      </c>
    </row>
    <row r="3" spans="1:5" ht="15.5">
      <c r="A3" s="69" t="s">
        <v>767</v>
      </c>
      <c r="B3" s="70" t="s">
        <v>768</v>
      </c>
      <c r="C3" s="73" t="s">
        <v>225</v>
      </c>
      <c r="D3" s="69" t="str">
        <f>IFERROR(IF(VLOOKUP(A3,Questionário!A:A,1,FALSE)=A3, "Ok","Ausente"), "Ausente")</f>
        <v>Ok</v>
      </c>
    </row>
    <row r="4" spans="1:5" ht="15.5">
      <c r="A4" s="69" t="s">
        <v>144</v>
      </c>
      <c r="B4" s="70" t="s">
        <v>145</v>
      </c>
      <c r="C4" s="73" t="s">
        <v>146</v>
      </c>
      <c r="D4" s="69" t="str">
        <f>IFERROR(IF(VLOOKUP(A4,Questionário!A:A,1,FALSE)=A4, "Ok","Ausente"), "Ausente")</f>
        <v>Ok</v>
      </c>
    </row>
    <row r="5" spans="1:5" ht="15.5">
      <c r="A5" s="69" t="s">
        <v>112</v>
      </c>
      <c r="B5" s="70" t="s">
        <v>113</v>
      </c>
      <c r="C5" s="73" t="s">
        <v>114</v>
      </c>
      <c r="D5" s="69" t="str">
        <f>IFERROR(IF(VLOOKUP(A5,Questionário!A:A,1,FALSE)=A5, "Ok","Ausente"), "Ausente")</f>
        <v>Ok</v>
      </c>
    </row>
    <row r="6" spans="1:5" ht="15.5">
      <c r="A6" s="69" t="s">
        <v>162</v>
      </c>
      <c r="B6" s="70" t="s">
        <v>163</v>
      </c>
      <c r="C6" s="73" t="s">
        <v>158</v>
      </c>
      <c r="D6" s="69" t="str">
        <f>IFERROR(IF(VLOOKUP(A6,Questionário!A:A,1,FALSE)=A6, "Ok","Ausente"), "Ausente")</f>
        <v>Ok</v>
      </c>
    </row>
    <row r="7" spans="1:5" ht="15.5">
      <c r="A7" s="69" t="s">
        <v>678</v>
      </c>
      <c r="B7" s="70" t="s">
        <v>679</v>
      </c>
      <c r="C7" s="73" t="s">
        <v>184</v>
      </c>
      <c r="D7" s="69" t="str">
        <f>IFERROR(IF(VLOOKUP(A7,Questionário!A:A,1,FALSE)=A7, "Ok","Ausente"), "Ausente")</f>
        <v>Ok</v>
      </c>
    </row>
    <row r="8" spans="1:5" ht="28.5">
      <c r="A8" s="69" t="s">
        <v>218</v>
      </c>
      <c r="B8" s="70" t="s">
        <v>219</v>
      </c>
      <c r="C8" s="73" t="s">
        <v>158</v>
      </c>
      <c r="D8" s="69" t="str">
        <f>IFERROR(IF(VLOOKUP(A8,Questionário!A:A,1,FALSE)=A8, "Ok","Ausente"), "Ausente")</f>
        <v>Ok</v>
      </c>
    </row>
    <row r="9" spans="1:5" ht="15.5">
      <c r="A9" s="69" t="s">
        <v>156</v>
      </c>
      <c r="B9" s="70" t="s">
        <v>157</v>
      </c>
      <c r="C9" s="73" t="s">
        <v>158</v>
      </c>
      <c r="D9" s="69" t="str">
        <f>IFERROR(IF(VLOOKUP(A9,Questionário!A:A,1,FALSE)=A9, "Ok","Ausente"), "Ausente")</f>
        <v>Ok</v>
      </c>
    </row>
    <row r="10" spans="1:5" ht="15.5">
      <c r="A10" s="69" t="s">
        <v>773</v>
      </c>
      <c r="B10" s="70" t="s">
        <v>774</v>
      </c>
      <c r="C10" s="73" t="s">
        <v>225</v>
      </c>
      <c r="D10" s="69" t="str">
        <f>IFERROR(IF(VLOOKUP(A10,Questionário!A:A,1,FALSE)=A10, "Ok","Ausente"), "Ausente")</f>
        <v>Ok</v>
      </c>
    </row>
    <row r="11" spans="1:5" ht="15.5">
      <c r="A11" s="69" t="s">
        <v>127</v>
      </c>
      <c r="B11" s="70" t="s">
        <v>128</v>
      </c>
      <c r="C11" s="73" t="s">
        <v>129</v>
      </c>
      <c r="D11" s="69" t="str">
        <f>IFERROR(IF(VLOOKUP(A11,Questionário!A:A,1,FALSE)=A11, "Ok","Ausente"), "Ausente")</f>
        <v>Ok</v>
      </c>
    </row>
    <row r="12" spans="1:5" ht="28.5">
      <c r="A12" s="69" t="s">
        <v>763</v>
      </c>
      <c r="B12" s="70" t="s">
        <v>764</v>
      </c>
      <c r="C12" s="73" t="s">
        <v>114</v>
      </c>
      <c r="D12" s="69" t="str">
        <f>IFERROR(IF(VLOOKUP(A12,Questionário!A:A,1,FALSE)=A12, "Ok","Ausente"), "Ausente")</f>
        <v>Ok</v>
      </c>
      <c r="E12" t="s">
        <v>957</v>
      </c>
    </row>
    <row r="13" spans="1:5" ht="28.5">
      <c r="A13" s="69" t="s">
        <v>204</v>
      </c>
      <c r="B13" s="70" t="s">
        <v>205</v>
      </c>
      <c r="C13" s="73" t="s">
        <v>114</v>
      </c>
      <c r="D13" s="69" t="str">
        <f>IFERROR(IF(VLOOKUP(A13,Questionário!A:A,1,FALSE)=A13, "Ok","Ausente"), "Ausente")</f>
        <v>Ok</v>
      </c>
    </row>
    <row r="14" spans="1:5" ht="15.5">
      <c r="A14" s="69" t="s">
        <v>171</v>
      </c>
      <c r="B14" s="70" t="s">
        <v>172</v>
      </c>
      <c r="C14" s="73" t="s">
        <v>173</v>
      </c>
      <c r="D14" s="69" t="str">
        <f>IFERROR(IF(VLOOKUP(A14,Questionário!A:A,1,FALSE)=A14, "Ok","Ausente"), "Ausente")</f>
        <v>Ok</v>
      </c>
    </row>
    <row r="15" spans="1:5" ht="28.5">
      <c r="A15" s="69" t="s">
        <v>176</v>
      </c>
      <c r="B15" s="70" t="s">
        <v>177</v>
      </c>
      <c r="C15" s="73" t="s">
        <v>146</v>
      </c>
      <c r="D15" s="69" t="str">
        <f>IFERROR(IF(VLOOKUP(A15,Questionário!A:A,1,FALSE)=A15, "Ok","Ausente"), "Ausente")</f>
        <v>Ok</v>
      </c>
    </row>
    <row r="16" spans="1:5" ht="28.5">
      <c r="A16" s="69" t="s">
        <v>688</v>
      </c>
      <c r="B16" s="70" t="s">
        <v>689</v>
      </c>
      <c r="C16" s="73" t="s">
        <v>184</v>
      </c>
      <c r="D16" s="69" t="str">
        <f>IFERROR(IF(VLOOKUP(A16,Questionário!A:A,1,FALSE)=A16, "Ok","Ausente"), "Ausente")</f>
        <v>Ok</v>
      </c>
    </row>
    <row r="17" spans="1:5" ht="28.5">
      <c r="A17" s="69" t="s">
        <v>189</v>
      </c>
      <c r="B17" s="70" t="s">
        <v>190</v>
      </c>
      <c r="C17" s="73" t="s">
        <v>146</v>
      </c>
      <c r="D17" s="69" t="str">
        <f>IFERROR(IF(VLOOKUP(A17,Questionário!A:A,1,FALSE)=A17, "Ok","Ausente"), "Ausente")</f>
        <v>Ok</v>
      </c>
    </row>
    <row r="18" spans="1:5" ht="28.5">
      <c r="A18" s="69" t="s">
        <v>562</v>
      </c>
      <c r="B18" s="70" t="s">
        <v>563</v>
      </c>
      <c r="C18" s="73" t="s">
        <v>158</v>
      </c>
      <c r="D18" s="69" t="str">
        <f>IFERROR(IF(VLOOKUP(A18,Questionário!A:A,1,FALSE)=A18, "Ok","Ausente"), "Ausente")</f>
        <v>Ok</v>
      </c>
    </row>
    <row r="19" spans="1:5" ht="28.5">
      <c r="A19" s="69" t="s">
        <v>958</v>
      </c>
      <c r="B19" s="70" t="s">
        <v>959</v>
      </c>
      <c r="C19" s="73" t="s">
        <v>146</v>
      </c>
      <c r="D19" s="69" t="str">
        <f>IFERROR(IF(VLOOKUP(A19,Questionário!A:A,1,FALSE)=A19, "Ok","Ausente"), "Ausente")</f>
        <v>Ausente</v>
      </c>
      <c r="E19" t="s">
        <v>960</v>
      </c>
    </row>
    <row r="20" spans="1:5" ht="28.5">
      <c r="A20" s="69" t="s">
        <v>961</v>
      </c>
      <c r="B20" s="70" t="s">
        <v>962</v>
      </c>
      <c r="C20" s="73" t="s">
        <v>225</v>
      </c>
      <c r="D20" s="69" t="str">
        <f>IFERROR(IF(VLOOKUP(A20,Questionário!A:A,1,FALSE)=A20, "Ok","Ausente"), "Ausente")</f>
        <v>Ausente</v>
      </c>
      <c r="E20" t="s">
        <v>960</v>
      </c>
    </row>
    <row r="21" spans="1:5" ht="28.5">
      <c r="A21" s="69" t="s">
        <v>779</v>
      </c>
      <c r="B21" s="70" t="s">
        <v>780</v>
      </c>
      <c r="C21" s="73" t="s">
        <v>129</v>
      </c>
      <c r="D21" s="69" t="str">
        <f>IFERROR(IF(VLOOKUP(A21,Questionário!A:A,1,FALSE)=A21, "Ok","Ausente"), "Ausente")</f>
        <v>Ok</v>
      </c>
    </row>
    <row r="22" spans="1:5" ht="15.5">
      <c r="A22" s="69" t="s">
        <v>223</v>
      </c>
      <c r="B22" s="70" t="s">
        <v>224</v>
      </c>
      <c r="C22" s="73" t="s">
        <v>225</v>
      </c>
      <c r="D22" s="69" t="str">
        <f>IFERROR(IF(VLOOKUP(A22,Questionário!A:A,1,FALSE)=A22, "Ok","Ausente"), "Ausente")</f>
        <v>Ok</v>
      </c>
    </row>
    <row r="23" spans="1:5" ht="15.5">
      <c r="A23" s="69" t="s">
        <v>633</v>
      </c>
      <c r="B23" s="70" t="s">
        <v>634</v>
      </c>
      <c r="C23" s="73" t="s">
        <v>129</v>
      </c>
      <c r="D23" s="69" t="str">
        <f>IFERROR(IF(VLOOKUP(A23,Questionário!A:A,1,FALSE)=A23, "Ok","Ausente"), "Ausente")</f>
        <v>Ok</v>
      </c>
    </row>
    <row r="24" spans="1:5" ht="28.5">
      <c r="A24" s="69" t="s">
        <v>137</v>
      </c>
      <c r="B24" s="70" t="s">
        <v>138</v>
      </c>
      <c r="C24" s="73" t="s">
        <v>114</v>
      </c>
      <c r="D24" s="69" t="str">
        <f>IFERROR(IF(VLOOKUP(A24,Questionário!A:A,1,FALSE)=A24, "Ok","Ausente"), "Ausente")</f>
        <v>Ok</v>
      </c>
    </row>
    <row r="25" spans="1:5" ht="28.5">
      <c r="A25" s="69" t="s">
        <v>522</v>
      </c>
      <c r="B25" s="70" t="s">
        <v>523</v>
      </c>
      <c r="C25" s="73" t="s">
        <v>225</v>
      </c>
      <c r="D25" s="69" t="str">
        <f>IFERROR(IF(VLOOKUP(A25,Questionário!A:A,1,FALSE)=A25, "Ok","Ausente"), "Ausente")</f>
        <v>Ok</v>
      </c>
    </row>
    <row r="26" spans="1:5" ht="15.5">
      <c r="A26" s="69" t="s">
        <v>606</v>
      </c>
      <c r="B26" s="70" t="s">
        <v>607</v>
      </c>
      <c r="C26" s="73" t="s">
        <v>184</v>
      </c>
      <c r="D26" s="69" t="str">
        <f>IFERROR(IF(VLOOKUP(A26,Questionário!A:A,1,FALSE)=A26, "Ok","Ausente"), "Ausente")</f>
        <v>Ok</v>
      </c>
    </row>
    <row r="27" spans="1:5" ht="28.5">
      <c r="A27" s="69" t="s">
        <v>626</v>
      </c>
      <c r="B27" s="70" t="s">
        <v>627</v>
      </c>
      <c r="C27" s="73" t="s">
        <v>146</v>
      </c>
      <c r="D27" s="69" t="str">
        <f>IFERROR(IF(VLOOKUP(A27,Questionário!A:A,1,FALSE)=A27, "Ok","Ausente"), "Ausente")</f>
        <v>Ok</v>
      </c>
    </row>
    <row r="28" spans="1:5" ht="15.5">
      <c r="A28" s="69" t="s">
        <v>182</v>
      </c>
      <c r="B28" s="70" t="s">
        <v>183</v>
      </c>
      <c r="C28" s="73" t="s">
        <v>184</v>
      </c>
      <c r="D28" s="69" t="str">
        <f>IFERROR(IF(VLOOKUP(A28,Questionário!A:A,1,FALSE)=A28, "Ok","Ausente"), "Ausente")</f>
        <v>Ok</v>
      </c>
    </row>
    <row r="29" spans="1:5" ht="28.5">
      <c r="A29" s="69" t="s">
        <v>872</v>
      </c>
      <c r="B29" s="70" t="s">
        <v>873</v>
      </c>
      <c r="C29" s="73" t="s">
        <v>146</v>
      </c>
      <c r="D29" s="69" t="str">
        <f>IFERROR(IF(VLOOKUP(A29,Questionário!A:A,1,FALSE)=A29, "Ok","Ausente"), "Ausente")</f>
        <v>Ok</v>
      </c>
    </row>
    <row r="30" spans="1:5" ht="28.5">
      <c r="A30" s="69" t="s">
        <v>229</v>
      </c>
      <c r="B30" s="70" t="s">
        <v>230</v>
      </c>
      <c r="C30" s="73" t="s">
        <v>158</v>
      </c>
      <c r="D30" s="69" t="str">
        <f>IFERROR(IF(VLOOKUP(A30,Questionário!A:A,1,FALSE)=A30, "Ok","Ausente"), "Ausente")</f>
        <v>Ok</v>
      </c>
    </row>
    <row r="31" spans="1:5" ht="15.5">
      <c r="A31" s="69" t="s">
        <v>963</v>
      </c>
      <c r="B31" s="70" t="s">
        <v>964</v>
      </c>
      <c r="C31" s="73" t="s">
        <v>659</v>
      </c>
      <c r="D31" s="69" t="str">
        <f>IFERROR(IF(VLOOKUP(A31,Questionário!A:A,1,FALSE)=A31, "Ok","Ausente"), "Ausente")</f>
        <v>Ausente</v>
      </c>
      <c r="E31" t="s">
        <v>960</v>
      </c>
    </row>
    <row r="32" spans="1:5" ht="15.5">
      <c r="A32" s="69" t="s">
        <v>256</v>
      </c>
      <c r="B32" s="70" t="s">
        <v>257</v>
      </c>
      <c r="C32" s="73" t="s">
        <v>258</v>
      </c>
      <c r="D32" s="69" t="str">
        <f>IFERROR(IF(VLOOKUP(A32,Questionário!A:A,1,FALSE)=A32, "Ok","Ausente"), "Ausente")</f>
        <v>Ok</v>
      </c>
    </row>
    <row r="33" spans="1:5" ht="15.5">
      <c r="A33" s="69" t="s">
        <v>274</v>
      </c>
      <c r="B33" s="70" t="s">
        <v>275</v>
      </c>
      <c r="C33" s="73" t="s">
        <v>258</v>
      </c>
      <c r="D33" s="69" t="str">
        <f>IFERROR(IF(VLOOKUP(A33,Questionário!A:A,1,FALSE)=A33, "Ok","Ausente"), "Ausente")</f>
        <v>Ok</v>
      </c>
    </row>
    <row r="34" spans="1:5" ht="28.5">
      <c r="A34" s="69" t="s">
        <v>965</v>
      </c>
      <c r="B34" s="70" t="s">
        <v>966</v>
      </c>
      <c r="C34" s="73" t="s">
        <v>225</v>
      </c>
      <c r="D34" s="69" t="str">
        <f>IFERROR(IF(VLOOKUP(A34,Questionário!A:A,1,FALSE)=A34, "Ok","Ausente"), "Ausente")</f>
        <v>Ausente</v>
      </c>
      <c r="E34" t="s">
        <v>967</v>
      </c>
    </row>
    <row r="35" spans="1:5" ht="28.5">
      <c r="A35" s="69" t="s">
        <v>246</v>
      </c>
      <c r="B35" s="70" t="s">
        <v>968</v>
      </c>
      <c r="C35" s="73" t="s">
        <v>173</v>
      </c>
      <c r="D35" s="69" t="str">
        <f>IFERROR(IF(VLOOKUP(A35,Questionário!A:A,1,FALSE)=A35, "Ok","Ausente"), "Ausente")</f>
        <v>Ok</v>
      </c>
    </row>
    <row r="36" spans="1:5" ht="28.5">
      <c r="A36" s="69" t="s">
        <v>713</v>
      </c>
      <c r="B36" s="70" t="s">
        <v>714</v>
      </c>
      <c r="C36" s="73" t="s">
        <v>129</v>
      </c>
      <c r="D36" s="69" t="str">
        <f>IFERROR(IF(VLOOKUP(A36,Questionário!A:A,1,FALSE)=A36, "Ok","Ausente"), "Ausente")</f>
        <v>Ok</v>
      </c>
    </row>
    <row r="37" spans="1:5" ht="15.5">
      <c r="A37" s="69" t="s">
        <v>265</v>
      </c>
      <c r="B37" s="70" t="s">
        <v>266</v>
      </c>
      <c r="C37" s="73">
        <v>2</v>
      </c>
      <c r="D37" s="69" t="str">
        <f>IFERROR(IF(VLOOKUP(A37,Questionário!A:A,1,FALSE)=A37, "Ok","Ausente"), "Ausente")</f>
        <v>Ok</v>
      </c>
    </row>
    <row r="38" spans="1:5" ht="28.5">
      <c r="A38" s="69" t="s">
        <v>969</v>
      </c>
      <c r="B38" s="70" t="s">
        <v>970</v>
      </c>
      <c r="C38" s="73" t="s">
        <v>225</v>
      </c>
      <c r="D38" s="69" t="str">
        <f>IFERROR(IF(VLOOKUP(A38,Questionário!A:A,1,FALSE)=A38, "Ok","Ausente"), "Ausente")</f>
        <v>Ausente</v>
      </c>
      <c r="E38" t="s">
        <v>960</v>
      </c>
    </row>
    <row r="39" spans="1:5" ht="15.5">
      <c r="A39" s="69" t="s">
        <v>283</v>
      </c>
      <c r="B39" s="70" t="s">
        <v>284</v>
      </c>
      <c r="C39" s="73" t="s">
        <v>158</v>
      </c>
      <c r="D39" s="69" t="str">
        <f>IFERROR(IF(VLOOKUP(A39,Questionário!A:A,1,FALSE)=A39, "Ok","Ausente"), "Ausente")</f>
        <v>Ok</v>
      </c>
    </row>
    <row r="40" spans="1:5" ht="15.5">
      <c r="A40" s="69" t="s">
        <v>971</v>
      </c>
      <c r="B40" s="70" t="s">
        <v>972</v>
      </c>
      <c r="C40" s="73" t="s">
        <v>158</v>
      </c>
      <c r="D40" s="69" t="str">
        <f>IFERROR(IF(VLOOKUP(A40,Questionário!A:A,1,FALSE)=A40, "Ok","Ausente"), "Ausente")</f>
        <v>Ausente</v>
      </c>
      <c r="E40" t="s">
        <v>973</v>
      </c>
    </row>
    <row r="41" spans="1:5" ht="15.5">
      <c r="A41" s="69" t="s">
        <v>214</v>
      </c>
      <c r="B41" s="70" t="s">
        <v>215</v>
      </c>
      <c r="C41" s="73" t="s">
        <v>158</v>
      </c>
      <c r="D41" s="69" t="str">
        <f>IFERROR(IF(VLOOKUP(A41,Questionário!A:A,1,FALSE)=A41, "Ok","Ausente"), "Ausente")</f>
        <v>Ok</v>
      </c>
    </row>
    <row r="42" spans="1:5" ht="15.5">
      <c r="A42" s="69" t="s">
        <v>568</v>
      </c>
      <c r="B42" s="70" t="s">
        <v>569</v>
      </c>
      <c r="C42" s="73" t="s">
        <v>158</v>
      </c>
      <c r="D42" s="69" t="str">
        <f>IFERROR(IF(VLOOKUP(A42,Questionário!A:A,1,FALSE)=A42, "Ok","Ausente"), "Ausente")</f>
        <v>Ok</v>
      </c>
    </row>
    <row r="43" spans="1:5" ht="15.5">
      <c r="A43" s="69" t="s">
        <v>974</v>
      </c>
      <c r="B43" s="70" t="s">
        <v>975</v>
      </c>
      <c r="C43" s="73" t="s">
        <v>129</v>
      </c>
      <c r="D43" s="69" t="str">
        <f>IFERROR(IF(VLOOKUP(A43,Questionário!A:A,1,FALSE)=A43, "Ok","Ausente"), "Ausente")</f>
        <v>Ausente</v>
      </c>
      <c r="E43" t="s">
        <v>960</v>
      </c>
    </row>
    <row r="44" spans="1:5" ht="15.5">
      <c r="A44" s="69" t="s">
        <v>640</v>
      </c>
      <c r="B44" s="70" t="s">
        <v>976</v>
      </c>
      <c r="C44" s="73" t="s">
        <v>158</v>
      </c>
      <c r="D44" s="69" t="str">
        <f>IFERROR(IF(VLOOKUP(A44,Questionário!A:A,1,FALSE)=A44, "Ok","Ausente"), "Ausente")</f>
        <v>Ok</v>
      </c>
    </row>
    <row r="45" spans="1:5" ht="15.5">
      <c r="A45" s="69" t="s">
        <v>493</v>
      </c>
      <c r="B45" s="70" t="s">
        <v>977</v>
      </c>
      <c r="C45" s="73" t="s">
        <v>225</v>
      </c>
      <c r="D45" s="69" t="str">
        <f>IFERROR(IF(VLOOKUP(A45,Questionário!A:A,1,FALSE)=A45, "Ok","Ausente"), "Ausente")</f>
        <v>Ok</v>
      </c>
      <c r="E45" t="s">
        <v>957</v>
      </c>
    </row>
    <row r="46" spans="1:5" ht="15.5">
      <c r="A46" s="69" t="s">
        <v>474</v>
      </c>
      <c r="B46" s="70" t="s">
        <v>475</v>
      </c>
      <c r="C46" s="73" t="s">
        <v>225</v>
      </c>
      <c r="D46" s="69" t="str">
        <f>IFERROR(IF(VLOOKUP(A46,Questionário!A:A,1,FALSE)=A46, "Ok","Ausente"), "Ausente")</f>
        <v>Ok</v>
      </c>
    </row>
    <row r="47" spans="1:5" ht="28.5">
      <c r="A47" s="69" t="s">
        <v>610</v>
      </c>
      <c r="B47" s="70" t="s">
        <v>978</v>
      </c>
      <c r="C47" s="73" t="s">
        <v>184</v>
      </c>
      <c r="D47" s="69" t="str">
        <f>IFERROR(IF(VLOOKUP(A47,Questionário!A:A,1,FALSE)=A47, "Ok","Ausente"), "Ausente")</f>
        <v>Ok</v>
      </c>
    </row>
    <row r="48" spans="1:5" ht="28.5">
      <c r="A48" s="69" t="s">
        <v>619</v>
      </c>
      <c r="B48" s="70" t="s">
        <v>979</v>
      </c>
      <c r="C48" s="73" t="s">
        <v>158</v>
      </c>
      <c r="D48" s="69" t="str">
        <f>IFERROR(IF(VLOOKUP(A48,Questionário!A:A,1,FALSE)=A48, "Ok","Ausente"), "Ausente")</f>
        <v>Ok</v>
      </c>
    </row>
    <row r="49" spans="1:5" ht="15.5">
      <c r="A49" s="69" t="s">
        <v>497</v>
      </c>
      <c r="B49" s="70" t="s">
        <v>980</v>
      </c>
      <c r="C49" s="73" t="s">
        <v>129</v>
      </c>
      <c r="D49" s="69" t="str">
        <f>IFERROR(IF(VLOOKUP(A49,Questionário!A:A,1,FALSE)=A49, "Ok","Ausente"), "Ausente")</f>
        <v>Ok</v>
      </c>
    </row>
    <row r="50" spans="1:5" ht="15.5">
      <c r="A50" s="69" t="s">
        <v>613</v>
      </c>
      <c r="B50" s="70" t="s">
        <v>602</v>
      </c>
      <c r="C50" s="73" t="s">
        <v>184</v>
      </c>
      <c r="D50" s="69" t="str">
        <f>IFERROR(IF(VLOOKUP(A50,Questionário!A:A,1,FALSE)=A50, "Ok","Ausente"), "Ausente")</f>
        <v>Ok</v>
      </c>
    </row>
    <row r="51" spans="1:5" ht="28.5">
      <c r="A51" s="69" t="s">
        <v>981</v>
      </c>
      <c r="B51" s="70" t="s">
        <v>982</v>
      </c>
      <c r="C51" s="73" t="s">
        <v>146</v>
      </c>
      <c r="D51" s="69" t="str">
        <f>IFERROR(IF(VLOOKUP(A51,Questionário!A:A,1,FALSE)=A51, "Ok","Ausente"), "Ausente")</f>
        <v>Ausente</v>
      </c>
      <c r="E51" t="s">
        <v>960</v>
      </c>
    </row>
    <row r="52" spans="1:5" ht="28.5">
      <c r="A52" s="69" t="s">
        <v>303</v>
      </c>
      <c r="B52" s="70" t="s">
        <v>304</v>
      </c>
      <c r="C52" s="73">
        <v>2</v>
      </c>
      <c r="D52" s="69" t="str">
        <f>IFERROR(IF(VLOOKUP(A52,Questionário!A:A,1,FALSE)=A52, "Ok","Ausente"), "Ausente")</f>
        <v>Ok</v>
      </c>
    </row>
    <row r="53" spans="1:5" ht="15.5">
      <c r="A53" s="69" t="s">
        <v>877</v>
      </c>
      <c r="B53" s="70" t="s">
        <v>878</v>
      </c>
      <c r="C53" s="73" t="s">
        <v>146</v>
      </c>
      <c r="D53" s="69" t="str">
        <f>IFERROR(IF(VLOOKUP(A53,Questionário!A:A,1,FALSE)=A53, "Ok","Ausente"), "Ausente")</f>
        <v>Ok</v>
      </c>
    </row>
    <row r="54" spans="1:5" ht="28.5">
      <c r="A54" s="69" t="s">
        <v>351</v>
      </c>
      <c r="B54" s="70" t="s">
        <v>983</v>
      </c>
      <c r="C54" s="73" t="s">
        <v>146</v>
      </c>
      <c r="D54" s="69" t="str">
        <f>IFERROR(IF(VLOOKUP(A54,Questionário!A:A,1,FALSE)=A54, "Ok","Ausente"), "Ausente")</f>
        <v>Ok</v>
      </c>
    </row>
    <row r="55" spans="1:5" ht="28.5">
      <c r="A55" s="69" t="s">
        <v>571</v>
      </c>
      <c r="B55" s="70" t="s">
        <v>572</v>
      </c>
      <c r="C55" s="73" t="s">
        <v>158</v>
      </c>
      <c r="D55" s="69" t="str">
        <f>IFERROR(IF(VLOOKUP(A55,Questionário!A:A,1,FALSE)=A55, "Ok","Ausente"), "Ausente")</f>
        <v>Ok</v>
      </c>
    </row>
    <row r="56" spans="1:5" ht="15.5">
      <c r="A56" s="69" t="s">
        <v>329</v>
      </c>
      <c r="B56" s="70" t="s">
        <v>330</v>
      </c>
      <c r="C56" s="73" t="s">
        <v>331</v>
      </c>
      <c r="D56" s="69" t="str">
        <f>IFERROR(IF(VLOOKUP(A56,Questionário!A:A,1,FALSE)=A56, "Ok","Ausente"), "Ausente")</f>
        <v>Ok</v>
      </c>
    </row>
    <row r="57" spans="1:5" s="82" customFormat="1" ht="43.5">
      <c r="A57" s="79" t="s">
        <v>984</v>
      </c>
      <c r="B57" s="80" t="s">
        <v>985</v>
      </c>
      <c r="C57" s="81" t="s">
        <v>225</v>
      </c>
      <c r="D57" s="79" t="str">
        <f>IFERROR(IF(VLOOKUP(A57,Questionário!A:A,1,FALSE)=A57, "Ok","Ausente"), "Ausente")</f>
        <v>Ausente</v>
      </c>
      <c r="E57" s="83" t="s">
        <v>986</v>
      </c>
    </row>
    <row r="58" spans="1:5" ht="28.5">
      <c r="A58" s="69" t="s">
        <v>317</v>
      </c>
      <c r="B58" s="70" t="s">
        <v>318</v>
      </c>
      <c r="C58" s="73" t="s">
        <v>158</v>
      </c>
      <c r="D58" s="69" t="str">
        <f>IFERROR(IF(VLOOKUP(A58,Questionário!A:A,1,FALSE)=A58, "Ok","Ausente"), "Ausente")</f>
        <v>Ok</v>
      </c>
    </row>
    <row r="59" spans="1:5" ht="15.5">
      <c r="A59" s="69" t="s">
        <v>346</v>
      </c>
      <c r="B59" s="70" t="s">
        <v>347</v>
      </c>
      <c r="C59" s="73" t="s">
        <v>158</v>
      </c>
      <c r="D59" s="69" t="str">
        <f>IFERROR(IF(VLOOKUP(A59,Questionário!A:A,1,FALSE)=A59, "Ok","Ausente"), "Ausente")</f>
        <v>Ok</v>
      </c>
    </row>
    <row r="60" spans="1:5" ht="15.5">
      <c r="A60" s="69" t="s">
        <v>645</v>
      </c>
      <c r="B60" s="70" t="s">
        <v>646</v>
      </c>
      <c r="C60" s="73" t="s">
        <v>158</v>
      </c>
      <c r="D60" s="69" t="str">
        <f>IFERROR(IF(VLOOKUP(A60,Questionário!A:A,1,FALSE)=A60, "Ok","Ausente"), "Ausente")</f>
        <v>Ok</v>
      </c>
    </row>
    <row r="61" spans="1:5" ht="15.5">
      <c r="A61" s="69" t="s">
        <v>615</v>
      </c>
      <c r="B61" s="70" t="s">
        <v>605</v>
      </c>
      <c r="C61" s="73" t="s">
        <v>184</v>
      </c>
      <c r="D61" s="69" t="str">
        <f>IFERROR(IF(VLOOKUP(A61,Questionário!A:A,1,FALSE)=A61, "Ok","Ausente"), "Ausente")</f>
        <v>Ok</v>
      </c>
    </row>
    <row r="62" spans="1:5" ht="15.5">
      <c r="A62" s="69" t="s">
        <v>617</v>
      </c>
      <c r="B62" s="70" t="s">
        <v>618</v>
      </c>
      <c r="C62" s="73" t="s">
        <v>184</v>
      </c>
      <c r="D62" s="69" t="str">
        <f>IFERROR(IF(VLOOKUP(A62,Questionário!A:A,1,FALSE)=A62, "Ok","Ausente"), "Ausente")</f>
        <v>Ok</v>
      </c>
    </row>
    <row r="63" spans="1:5" ht="15.5">
      <c r="A63" s="69" t="s">
        <v>504</v>
      </c>
      <c r="B63" s="70" t="s">
        <v>987</v>
      </c>
      <c r="C63" s="73" t="s">
        <v>225</v>
      </c>
      <c r="D63" s="69" t="str">
        <f>IFERROR(IF(VLOOKUP(A63,Questionário!A:A,1,FALSE)=A63, "Ok","Ausente"), "Ausente")</f>
        <v>Ok</v>
      </c>
    </row>
    <row r="64" spans="1:5" ht="28.5">
      <c r="A64" s="69" t="s">
        <v>988</v>
      </c>
      <c r="B64" s="70" t="s">
        <v>989</v>
      </c>
      <c r="C64" s="73" t="s">
        <v>225</v>
      </c>
      <c r="D64" s="69" t="str">
        <f>IFERROR(IF(VLOOKUP(A64,Questionário!A:A,1,FALSE)=A64, "Ok","Ausente"), "Ausente")</f>
        <v>Ausente</v>
      </c>
      <c r="E64" t="s">
        <v>973</v>
      </c>
    </row>
    <row r="65" spans="1:5" ht="28.5">
      <c r="A65" s="69" t="s">
        <v>368</v>
      </c>
      <c r="B65" s="70" t="s">
        <v>369</v>
      </c>
      <c r="C65" s="73" t="s">
        <v>158</v>
      </c>
      <c r="D65" s="69" t="str">
        <f>IFERROR(IF(VLOOKUP(A65,Questionário!A:A,1,FALSE)=A65, "Ok","Ausente"), "Ausente")</f>
        <v>Ok</v>
      </c>
    </row>
    <row r="66" spans="1:5" ht="15.5">
      <c r="A66" s="69" t="s">
        <v>888</v>
      </c>
      <c r="B66" s="70" t="s">
        <v>889</v>
      </c>
      <c r="C66" s="73" t="s">
        <v>129</v>
      </c>
      <c r="D66" s="69" t="str">
        <f>IFERROR(IF(VLOOKUP(A66,Questionário!A:A,1,FALSE)=A66, "Ok","Ausente"), "Ausente")</f>
        <v>Ok</v>
      </c>
    </row>
    <row r="67" spans="1:5" ht="15.5">
      <c r="A67" s="69" t="s">
        <v>395</v>
      </c>
      <c r="B67" s="70" t="s">
        <v>396</v>
      </c>
      <c r="C67" s="73" t="s">
        <v>114</v>
      </c>
      <c r="D67" s="69" t="str">
        <f>IFERROR(IF(VLOOKUP(A67,Questionário!A:A,1,FALSE)=A67, "Ok","Ausente"), "Ausente")</f>
        <v>Ok</v>
      </c>
    </row>
    <row r="68" spans="1:5" ht="15.5">
      <c r="A68" s="69" t="s">
        <v>392</v>
      </c>
      <c r="B68" s="70" t="s">
        <v>393</v>
      </c>
      <c r="C68" s="73" t="s">
        <v>225</v>
      </c>
      <c r="D68" s="69" t="str">
        <f>IFERROR(IF(VLOOKUP(A68,Questionário!A:A,1,FALSE)=A68, "Ok","Ausente"), "Ausente")</f>
        <v>Ok</v>
      </c>
    </row>
    <row r="69" spans="1:5" ht="15.5">
      <c r="A69" s="69" t="s">
        <v>389</v>
      </c>
      <c r="B69" s="70" t="s">
        <v>390</v>
      </c>
      <c r="C69" s="73" t="s">
        <v>225</v>
      </c>
      <c r="D69" s="69" t="str">
        <f>IFERROR(IF(VLOOKUP(A69,Questionário!A:A,1,FALSE)=A69, "Ok","Ausente"), "Ausente")</f>
        <v>Ok</v>
      </c>
    </row>
    <row r="70" spans="1:5" ht="15.5">
      <c r="A70" s="69" t="s">
        <v>383</v>
      </c>
      <c r="B70" s="70" t="s">
        <v>990</v>
      </c>
      <c r="C70" s="73" t="s">
        <v>129</v>
      </c>
      <c r="D70" s="69" t="str">
        <f>IFERROR(IF(VLOOKUP(A70,Questionário!A:A,1,FALSE)=A70, "Ok","Ausente"), "Ausente")</f>
        <v>Ok</v>
      </c>
    </row>
    <row r="71" spans="1:5" ht="15.5">
      <c r="A71" s="69" t="s">
        <v>398</v>
      </c>
      <c r="B71" s="70" t="s">
        <v>399</v>
      </c>
      <c r="C71" s="73" t="s">
        <v>146</v>
      </c>
      <c r="D71" s="69" t="str">
        <f>IFERROR(IF(VLOOKUP(A71,Questionário!A:A,1,FALSE)=A71, "Ok","Ausente"), "Ausente")</f>
        <v>Ok</v>
      </c>
    </row>
    <row r="72" spans="1:5" ht="15.5">
      <c r="A72" s="69" t="s">
        <v>744</v>
      </c>
      <c r="B72" s="70" t="s">
        <v>745</v>
      </c>
      <c r="C72" s="73" t="s">
        <v>129</v>
      </c>
      <c r="D72" s="69" t="str">
        <f>IFERROR(IF(VLOOKUP(A72,Questionário!A:A,1,FALSE)=A72, "Ok","Ausente"), "Ausente")</f>
        <v>Ok</v>
      </c>
    </row>
    <row r="73" spans="1:5" ht="28.5">
      <c r="A73" s="69" t="s">
        <v>411</v>
      </c>
      <c r="B73" s="70" t="s">
        <v>412</v>
      </c>
      <c r="C73" s="73" t="s">
        <v>158</v>
      </c>
      <c r="D73" s="69" t="str">
        <f>IFERROR(IF(VLOOKUP(A73,Questionário!A:A,1,FALSE)=A73, "Ok","Ausente"), "Ausente")</f>
        <v>Ok</v>
      </c>
    </row>
    <row r="74" spans="1:5" ht="15.5">
      <c r="A74" s="69" t="s">
        <v>407</v>
      </c>
      <c r="B74" s="70" t="s">
        <v>408</v>
      </c>
      <c r="C74" s="73" t="s">
        <v>146</v>
      </c>
      <c r="D74" s="69" t="str">
        <f>IFERROR(IF(VLOOKUP(A74,Questionário!A:A,1,FALSE)=A74, "Ok","Ausente"), "Ausente")</f>
        <v>Ok</v>
      </c>
    </row>
    <row r="75" spans="1:5" ht="15.5">
      <c r="A75" s="69" t="s">
        <v>556</v>
      </c>
      <c r="B75" s="70" t="s">
        <v>557</v>
      </c>
      <c r="C75" s="73">
        <v>2</v>
      </c>
      <c r="D75" s="69" t="str">
        <f>IFERROR(IF(VLOOKUP(A75,Questionário!A:A,1,FALSE)=A75, "Ok","Ausente"), "Ausente")</f>
        <v>Ok</v>
      </c>
    </row>
    <row r="76" spans="1:5" ht="28.5">
      <c r="A76" s="69" t="s">
        <v>542</v>
      </c>
      <c r="B76" s="70" t="s">
        <v>991</v>
      </c>
      <c r="C76" s="73" t="s">
        <v>146</v>
      </c>
      <c r="D76" s="69" t="str">
        <f>IFERROR(IF(VLOOKUP(A76,Questionário!A:A,1,FALSE)=A76, "Ok","Ausente"), "Ausente")</f>
        <v>Ok</v>
      </c>
    </row>
    <row r="77" spans="1:5" ht="28.5">
      <c r="A77" s="69" t="s">
        <v>666</v>
      </c>
      <c r="B77" s="70" t="s">
        <v>992</v>
      </c>
      <c r="C77" s="73" t="s">
        <v>184</v>
      </c>
      <c r="D77" s="69" t="str">
        <f>IFERROR(IF(VLOOKUP(A77,Questionário!A:A,1,FALSE)=A77, "Ok","Ausente"), "Ausente")</f>
        <v>Ok</v>
      </c>
    </row>
    <row r="78" spans="1:5" ht="15.5">
      <c r="A78" s="69" t="s">
        <v>526</v>
      </c>
      <c r="B78" s="70" t="s">
        <v>527</v>
      </c>
      <c r="C78" s="73" t="s">
        <v>129</v>
      </c>
      <c r="D78" s="69" t="str">
        <f>IFERROR(IF(VLOOKUP(A78,Questionário!A:A,1,FALSE)=A78, "Ok","Ausente"), "Ausente")</f>
        <v>Ok</v>
      </c>
    </row>
    <row r="79" spans="1:5" ht="15.5">
      <c r="A79" s="69" t="s">
        <v>547</v>
      </c>
      <c r="B79" s="70" t="s">
        <v>548</v>
      </c>
      <c r="C79" s="73" t="s">
        <v>225</v>
      </c>
      <c r="D79" s="69" t="str">
        <f>IFERROR(IF(VLOOKUP(A79,Questionário!A:A,1,FALSE)=A79, "Ok","Ausente"), "Ausente")</f>
        <v>Ok</v>
      </c>
    </row>
    <row r="80" spans="1:5" ht="15.5">
      <c r="A80" s="69" t="s">
        <v>993</v>
      </c>
      <c r="B80" s="70" t="s">
        <v>994</v>
      </c>
      <c r="C80" s="73" t="s">
        <v>184</v>
      </c>
      <c r="D80" s="69" t="str">
        <f>IFERROR(IF(VLOOKUP(A80,Questionário!A:A,1,FALSE)=A80, "Ok","Ausente"), "Ausente")</f>
        <v>Ausente</v>
      </c>
      <c r="E80" t="s">
        <v>960</v>
      </c>
    </row>
    <row r="81" spans="1:5" ht="28.5">
      <c r="A81" s="69" t="s">
        <v>535</v>
      </c>
      <c r="B81" s="70" t="s">
        <v>536</v>
      </c>
      <c r="C81" s="73" t="s">
        <v>129</v>
      </c>
      <c r="D81" s="69" t="str">
        <f>IFERROR(IF(VLOOKUP(A81,Questionário!A:A,1,FALSE)=A81, "Ok","Ausente"), "Ausente")</f>
        <v>Ok</v>
      </c>
    </row>
    <row r="82" spans="1:5" ht="15.5">
      <c r="A82" s="69" t="s">
        <v>591</v>
      </c>
      <c r="B82" s="70" t="s">
        <v>592</v>
      </c>
      <c r="C82" s="73" t="s">
        <v>184</v>
      </c>
      <c r="D82" s="69" t="str">
        <f>IFERROR(IF(VLOOKUP(A82,Questionário!A:A,1,FALSE)=A82, "Ok","Ausente"), "Ausente")</f>
        <v>Ok</v>
      </c>
    </row>
    <row r="83" spans="1:5" ht="28.5">
      <c r="A83" s="69" t="s">
        <v>520</v>
      </c>
      <c r="B83" s="70" t="s">
        <v>521</v>
      </c>
      <c r="C83" s="73" t="s">
        <v>225</v>
      </c>
      <c r="D83" s="69" t="str">
        <f>IFERROR(IF(VLOOKUP(A83,Questionário!A:A,1,FALSE)=A83, "Ok","Ausente"), "Ausente")</f>
        <v>Ok</v>
      </c>
    </row>
    <row r="84" spans="1:5" ht="28.5">
      <c r="A84" s="69" t="s">
        <v>415</v>
      </c>
      <c r="B84" s="70" t="s">
        <v>416</v>
      </c>
      <c r="C84" s="73" t="s">
        <v>158</v>
      </c>
      <c r="D84" s="69" t="str">
        <f>IFERROR(IF(VLOOKUP(A84,Questionário!A:A,1,FALSE)=A84, "Ok","Ausente"), "Ausente")</f>
        <v>Ok</v>
      </c>
    </row>
    <row r="85" spans="1:5" ht="15.5">
      <c r="A85" s="69" t="s">
        <v>457</v>
      </c>
      <c r="B85" s="70" t="s">
        <v>458</v>
      </c>
      <c r="C85" s="73" t="s">
        <v>225</v>
      </c>
      <c r="D85" s="69" t="str">
        <f>IFERROR(IF(VLOOKUP(A85,Questionário!A:A,1,FALSE)=A85, "Ok","Ausente"), "Ausente")</f>
        <v>Ok</v>
      </c>
    </row>
    <row r="86" spans="1:5" ht="15.5">
      <c r="A86" s="69" t="s">
        <v>432</v>
      </c>
      <c r="B86" s="70" t="s">
        <v>433</v>
      </c>
      <c r="C86" s="73" t="s">
        <v>173</v>
      </c>
      <c r="D86" s="69" t="str">
        <f>IFERROR(IF(VLOOKUP(A86,Questionário!A:A,1,FALSE)=A86, "Ok","Ausente"), "Ausente")</f>
        <v>Ok</v>
      </c>
    </row>
    <row r="87" spans="1:5" ht="15.5">
      <c r="A87" s="69" t="s">
        <v>426</v>
      </c>
      <c r="B87" s="70" t="s">
        <v>427</v>
      </c>
      <c r="C87" s="73">
        <v>2</v>
      </c>
      <c r="D87" s="69" t="str">
        <f>IFERROR(IF(VLOOKUP(A87,Questionário!A:A,1,FALSE)=A87, "Ok","Ausente"), "Ausente")</f>
        <v>Ok</v>
      </c>
    </row>
    <row r="88" spans="1:5" ht="15.5">
      <c r="A88" s="69" t="s">
        <v>442</v>
      </c>
      <c r="B88" s="70" t="s">
        <v>443</v>
      </c>
      <c r="C88" s="73" t="s">
        <v>158</v>
      </c>
      <c r="D88" s="69" t="str">
        <f>IFERROR(IF(VLOOKUP(A88,Questionário!A:A,1,FALSE)=A88, "Ok","Ausente"), "Ausente")</f>
        <v>Ok</v>
      </c>
    </row>
    <row r="89" spans="1:5" ht="28.5">
      <c r="A89" s="69" t="s">
        <v>995</v>
      </c>
      <c r="B89" s="70" t="s">
        <v>996</v>
      </c>
      <c r="C89" s="73" t="s">
        <v>225</v>
      </c>
      <c r="D89" s="69" t="str">
        <f>IFERROR(IF(VLOOKUP(A89,Questionário!A:A,1,FALSE)=A89, "Ok","Ausente"), "Ausente")</f>
        <v>Ausente</v>
      </c>
      <c r="E89" t="s">
        <v>960</v>
      </c>
    </row>
    <row r="90" spans="1:5" ht="15.5">
      <c r="A90" s="69" t="s">
        <v>446</v>
      </c>
      <c r="B90" s="70" t="s">
        <v>447</v>
      </c>
      <c r="C90" s="73" t="s">
        <v>146</v>
      </c>
      <c r="D90" s="69" t="str">
        <f>IFERROR(IF(VLOOKUP(A90,Questionário!A:A,1,FALSE)=A90, "Ok","Ausente"), "Ausente")</f>
        <v>Ok</v>
      </c>
    </row>
    <row r="91" spans="1:5" ht="28.5">
      <c r="A91" s="69" t="s">
        <v>487</v>
      </c>
      <c r="B91" s="70" t="s">
        <v>488</v>
      </c>
      <c r="C91" s="73" t="s">
        <v>225</v>
      </c>
      <c r="D91" s="69" t="str">
        <f>IFERROR(IF(VLOOKUP(A91,Questionário!A:A,1,FALSE)=A91, "Ok","Ausente"), "Ausente")</f>
        <v>Ok</v>
      </c>
    </row>
    <row r="92" spans="1:5" ht="15.5">
      <c r="A92" s="69" t="s">
        <v>574</v>
      </c>
      <c r="B92" s="70" t="s">
        <v>575</v>
      </c>
      <c r="C92" s="73" t="s">
        <v>158</v>
      </c>
      <c r="D92" s="69" t="str">
        <f>IFERROR(IF(VLOOKUP(A92,Questionário!A:A,1,FALSE)=A92, "Ok","Ausente"), "Ausente")</f>
        <v>Ok</v>
      </c>
    </row>
    <row r="93" spans="1:5" ht="15.5">
      <c r="A93" s="69" t="s">
        <v>637</v>
      </c>
      <c r="B93" s="70" t="s">
        <v>997</v>
      </c>
      <c r="C93" s="73" t="s">
        <v>158</v>
      </c>
      <c r="D93" s="69" t="str">
        <f>IFERROR(IF(VLOOKUP(A93,Questionário!A:A,1,FALSE)=A93, "Ok","Ausente"), "Ausente")</f>
        <v>Ok</v>
      </c>
    </row>
    <row r="94" spans="1:5" ht="15.5">
      <c r="A94" s="69" t="s">
        <v>998</v>
      </c>
      <c r="B94" s="70" t="s">
        <v>999</v>
      </c>
      <c r="C94" s="73" t="s">
        <v>225</v>
      </c>
      <c r="D94" s="69" t="str">
        <f>IFERROR(IF(VLOOKUP(A94,Questionário!A:A,1,FALSE)=A94, "Ok","Ausente"), "Ausente")</f>
        <v>Ausente</v>
      </c>
      <c r="E94" t="s">
        <v>967</v>
      </c>
    </row>
    <row r="95" spans="1:5" ht="15.5">
      <c r="A95" s="69" t="s">
        <v>518</v>
      </c>
      <c r="B95" s="70" t="s">
        <v>519</v>
      </c>
      <c r="C95" s="73" t="s">
        <v>225</v>
      </c>
      <c r="D95" s="69" t="str">
        <f>IFERROR(IF(VLOOKUP(A95,Questionário!A:A,1,FALSE)=A95, "Ok","Ausente"), "Ausente")</f>
        <v>Ok</v>
      </c>
    </row>
    <row r="96" spans="1:5" ht="15.5">
      <c r="A96" s="69" t="s">
        <v>783</v>
      </c>
      <c r="B96" s="70" t="s">
        <v>784</v>
      </c>
      <c r="C96" s="73" t="s">
        <v>146</v>
      </c>
      <c r="D96" s="69" t="str">
        <f>IFERROR(IF(VLOOKUP(A96,Questionário!A:A,1,FALSE)=A96, "Ok","Ausente"), "Ausente")</f>
        <v>Ok</v>
      </c>
    </row>
    <row r="97" spans="1:5" ht="15.5">
      <c r="A97" s="69" t="s">
        <v>452</v>
      </c>
      <c r="B97" s="70" t="s">
        <v>453</v>
      </c>
      <c r="C97" s="73" t="s">
        <v>158</v>
      </c>
      <c r="D97" s="69" t="str">
        <f>IFERROR(IF(VLOOKUP(A97,Questionário!A:A,1,FALSE)=A97, "Ok","Ausente"), "Ausente")</f>
        <v>Ok</v>
      </c>
    </row>
    <row r="98" spans="1:5" ht="28.5">
      <c r="A98" s="69" t="s">
        <v>463</v>
      </c>
      <c r="B98" s="70" t="s">
        <v>464</v>
      </c>
      <c r="C98" s="73" t="s">
        <v>158</v>
      </c>
      <c r="D98" s="69" t="str">
        <f>IFERROR(IF(VLOOKUP(A98,Questionário!A:A,1,FALSE)=A98, "Ok","Ausente"), "Ausente")</f>
        <v>Ok</v>
      </c>
    </row>
    <row r="99" spans="1:5" ht="15.5">
      <c r="A99" s="69" t="s">
        <v>1000</v>
      </c>
      <c r="B99" s="70" t="s">
        <v>1001</v>
      </c>
      <c r="C99" s="73" t="s">
        <v>146</v>
      </c>
      <c r="D99" s="69" t="str">
        <f>IFERROR(IF(VLOOKUP(A99,Questionário!A:A,1,FALSE)=A99, "Ok","Ausente"), "Ausente")</f>
        <v>Ausente</v>
      </c>
      <c r="E99" t="s">
        <v>960</v>
      </c>
    </row>
    <row r="100" spans="1:5" ht="15.5">
      <c r="A100" s="69" t="s">
        <v>802</v>
      </c>
      <c r="B100" s="70" t="s">
        <v>803</v>
      </c>
      <c r="C100" s="73" t="s">
        <v>146</v>
      </c>
      <c r="D100" s="69" t="str">
        <f>IFERROR(IF(VLOOKUP(A100,Questionário!A:A,1,FALSE)=A100, "Ok","Ausente"), "Ausente")</f>
        <v>Ok</v>
      </c>
    </row>
    <row r="101" spans="1:5" ht="15.5">
      <c r="A101" s="69" t="s">
        <v>804</v>
      </c>
      <c r="B101" s="70" t="s">
        <v>805</v>
      </c>
      <c r="C101" s="73" t="s">
        <v>225</v>
      </c>
      <c r="D101" s="69" t="str">
        <f>IFERROR(IF(VLOOKUP(A101,Questionário!A:A,1,FALSE)=A101, "Ok","Ausente"), "Ausente")</f>
        <v>Ok</v>
      </c>
    </row>
    <row r="102" spans="1:5" ht="15.5">
      <c r="A102" s="69" t="s">
        <v>790</v>
      </c>
      <c r="B102" s="70" t="s">
        <v>791</v>
      </c>
      <c r="C102" s="73" t="s">
        <v>146</v>
      </c>
      <c r="D102" s="69" t="str">
        <f>IFERROR(IF(VLOOKUP(A102,Questionário!A:A,1,FALSE)=A102, "Ok","Ausente"), "Ausente")</f>
        <v>Ok</v>
      </c>
    </row>
    <row r="103" spans="1:5" ht="15.5">
      <c r="A103" s="69" t="s">
        <v>1002</v>
      </c>
      <c r="B103" s="70" t="s">
        <v>1003</v>
      </c>
      <c r="C103" s="73" t="s">
        <v>225</v>
      </c>
      <c r="D103" s="69" t="str">
        <f>IFERROR(IF(VLOOKUP(A103,Questionário!A:A,1,FALSE)=A103, "Ok","Ausente"), "Ausente")</f>
        <v>Ausente</v>
      </c>
      <c r="E103" t="s">
        <v>960</v>
      </c>
    </row>
    <row r="104" spans="1:5" ht="15.5">
      <c r="A104" s="69" t="s">
        <v>649</v>
      </c>
      <c r="B104" s="70" t="s">
        <v>650</v>
      </c>
      <c r="C104" s="73" t="s">
        <v>225</v>
      </c>
      <c r="D104" s="69" t="str">
        <f>IFERROR(IF(VLOOKUP(A104,Questionário!A:A,1,FALSE)=A104, "Ok","Ausente"), "Ausente")</f>
        <v>Ok</v>
      </c>
    </row>
    <row r="105" spans="1:5" ht="28.5">
      <c r="A105" s="69" t="s">
        <v>808</v>
      </c>
      <c r="B105" s="70" t="s">
        <v>809</v>
      </c>
      <c r="C105" s="73" t="s">
        <v>129</v>
      </c>
      <c r="D105" s="69" t="str">
        <f>IFERROR(IF(VLOOKUP(A105,Questionário!A:A,1,FALSE)=A105, "Ok","Ausente"), "Ausente")</f>
        <v>Ok</v>
      </c>
    </row>
    <row r="106" spans="1:5" ht="28.5">
      <c r="A106" s="69" t="s">
        <v>817</v>
      </c>
      <c r="B106" s="70" t="s">
        <v>818</v>
      </c>
      <c r="C106" s="73" t="s">
        <v>129</v>
      </c>
      <c r="D106" s="69" t="str">
        <f>IFERROR(IF(VLOOKUP(A106,Questionário!A:A,1,FALSE)=A106, "Ok","Ausente"), "Ausente")</f>
        <v>Ok</v>
      </c>
    </row>
    <row r="107" spans="1:5" ht="15.5">
      <c r="A107" s="69" t="s">
        <v>798</v>
      </c>
      <c r="B107" s="70" t="s">
        <v>799</v>
      </c>
      <c r="C107" s="73" t="s">
        <v>129</v>
      </c>
      <c r="D107" s="69" t="str">
        <f>IFERROR(IF(VLOOKUP(A107,Questionário!A:A,1,FALSE)=A107, "Ok","Ausente"), "Ausente")</f>
        <v>Ok</v>
      </c>
    </row>
    <row r="108" spans="1:5" ht="15.5">
      <c r="A108" s="69" t="s">
        <v>1004</v>
      </c>
      <c r="B108" s="70" t="s">
        <v>1005</v>
      </c>
      <c r="C108" s="73" t="s">
        <v>225</v>
      </c>
      <c r="D108" s="69" t="str">
        <f>IFERROR(IF(VLOOKUP(A108,Questionário!A:A,1,FALSE)=A108, "Ok","Ausente"), "Ausente")</f>
        <v>Ausente</v>
      </c>
      <c r="E108" t="s">
        <v>960</v>
      </c>
    </row>
    <row r="109" spans="1:5" ht="28.5">
      <c r="A109" s="69" t="s">
        <v>1006</v>
      </c>
      <c r="B109" s="70" t="s">
        <v>1007</v>
      </c>
      <c r="C109" s="73" t="s">
        <v>225</v>
      </c>
      <c r="D109" s="69" t="str">
        <f>IFERROR(IF(VLOOKUP(A109,Questionário!A:A,1,FALSE)=A109, "Ok","Ausente"), "Ausente")</f>
        <v>Ausente</v>
      </c>
      <c r="E109" t="s">
        <v>967</v>
      </c>
    </row>
    <row r="110" spans="1:5" ht="28.5">
      <c r="A110" s="69" t="s">
        <v>833</v>
      </c>
      <c r="B110" s="70" t="s">
        <v>834</v>
      </c>
      <c r="C110" s="73" t="s">
        <v>129</v>
      </c>
      <c r="D110" s="69" t="str">
        <f>IFERROR(IF(VLOOKUP(A110,Questionário!A:A,1,FALSE)=A110, "Ok","Ausente"), "Ausente")</f>
        <v>Ok</v>
      </c>
      <c r="E110" t="s">
        <v>1008</v>
      </c>
    </row>
    <row r="111" spans="1:5" ht="28.5">
      <c r="A111" s="69" t="s">
        <v>850</v>
      </c>
      <c r="B111" s="70" t="s">
        <v>851</v>
      </c>
      <c r="C111" s="73" t="s">
        <v>129</v>
      </c>
      <c r="D111" s="69" t="str">
        <f>IFERROR(IF(VLOOKUP(A111,Questionário!A:A,1,FALSE)=A111, "Ok","Ausente"), "Ausente")</f>
        <v>Ok</v>
      </c>
    </row>
    <row r="112" spans="1:5" ht="15.5">
      <c r="A112" s="69" t="s">
        <v>861</v>
      </c>
      <c r="B112" s="70" t="s">
        <v>862</v>
      </c>
      <c r="C112" s="73" t="s">
        <v>129</v>
      </c>
      <c r="D112" s="69" t="str">
        <f>IFERROR(IF(VLOOKUP(A112,Questionário!A:A,1,FALSE)=A112, "Ok","Ausente"), "Ausente")</f>
        <v>Ok</v>
      </c>
    </row>
    <row r="113" spans="1:5" ht="15.5">
      <c r="A113" s="69" t="s">
        <v>565</v>
      </c>
      <c r="B113" s="70" t="s">
        <v>566</v>
      </c>
      <c r="C113" s="73" t="s">
        <v>158</v>
      </c>
      <c r="D113" s="69" t="str">
        <f>IFERROR(IF(VLOOKUP(A113,Questionário!A:A,1,FALSE)=A113, "Ok","Ausente"), "Ausente")</f>
        <v>Ok</v>
      </c>
    </row>
    <row r="114" spans="1:5" ht="28.5">
      <c r="A114" s="69" t="s">
        <v>1009</v>
      </c>
      <c r="B114" s="70" t="s">
        <v>1010</v>
      </c>
      <c r="C114" s="73" t="s">
        <v>146</v>
      </c>
      <c r="D114" s="69" t="str">
        <f>IFERROR(IF(VLOOKUP(A114,Questionário!A:A,1,FALSE)=A114, "Ok","Ausente"), "Ausente")</f>
        <v>Ausente</v>
      </c>
      <c r="E114" t="s">
        <v>967</v>
      </c>
    </row>
    <row r="115" spans="1:5" ht="15.5">
      <c r="A115" s="69" t="s">
        <v>829</v>
      </c>
      <c r="B115" s="70" t="s">
        <v>830</v>
      </c>
      <c r="C115" s="73" t="s">
        <v>129</v>
      </c>
      <c r="D115" s="69" t="str">
        <f>IFERROR(IF(VLOOKUP(A115,Questionário!A:A,1,FALSE)=A115, "Ok","Ausente"), "Ausente")</f>
        <v>Ok</v>
      </c>
    </row>
    <row r="116" spans="1:5" ht="15.5">
      <c r="A116" s="69" t="s">
        <v>865</v>
      </c>
      <c r="B116" s="70" t="s">
        <v>866</v>
      </c>
      <c r="C116" s="73" t="s">
        <v>146</v>
      </c>
      <c r="D116" s="69" t="str">
        <f>IFERROR(IF(VLOOKUP(A116,Questionário!A:A,1,FALSE)=A116, "Ok","Ausente"), "Ausente")</f>
        <v>Ok</v>
      </c>
    </row>
    <row r="117" spans="1:5" ht="15.5">
      <c r="A117" s="69" t="s">
        <v>595</v>
      </c>
      <c r="B117" s="70" t="s">
        <v>596</v>
      </c>
      <c r="C117" s="73" t="s">
        <v>184</v>
      </c>
      <c r="D117" s="69" t="str">
        <f>IFERROR(IF(VLOOKUP(A117,Questionário!A:A,1,FALSE)=A117, "Ok","Ausente"), "Ausente")</f>
        <v>Ok</v>
      </c>
    </row>
    <row r="118" spans="1:5" ht="15.5">
      <c r="A118" s="69" t="s">
        <v>1011</v>
      </c>
      <c r="B118" s="70" t="s">
        <v>1012</v>
      </c>
      <c r="C118" s="73" t="s">
        <v>146</v>
      </c>
      <c r="D118" s="69" t="str">
        <f>IFERROR(IF(VLOOKUP(A118,Questionário!A:A,1,FALSE)=A118, "Ok","Ausente"), "Ausente")</f>
        <v>Ausente</v>
      </c>
      <c r="E118" t="s">
        <v>960</v>
      </c>
    </row>
    <row r="119" spans="1:5" ht="28.5">
      <c r="A119" s="69" t="s">
        <v>1013</v>
      </c>
      <c r="B119" s="70" t="s">
        <v>764</v>
      </c>
      <c r="C119" s="73" t="s">
        <v>114</v>
      </c>
      <c r="D119" s="69" t="str">
        <f>IFERROR(IF(VLOOKUP(A119,Questionário!A:A,1,FALSE)=A119, "Ok","Ausente"), "Ausente")</f>
        <v>Ausente</v>
      </c>
      <c r="E119" t="s">
        <v>960</v>
      </c>
    </row>
    <row r="120" spans="1:5" ht="28.5">
      <c r="A120" s="69" t="s">
        <v>211</v>
      </c>
      <c r="B120" s="70" t="s">
        <v>205</v>
      </c>
      <c r="C120" s="73" t="s">
        <v>114</v>
      </c>
      <c r="D120" s="69" t="str">
        <f>IFERROR(IF(VLOOKUP(A120,Questionário!A:A,1,FALSE)=A120, "Ok","Ausente"), "Ausente")</f>
        <v>Ok</v>
      </c>
    </row>
    <row r="121" spans="1:5" ht="28.5">
      <c r="A121" s="69" t="s">
        <v>704</v>
      </c>
      <c r="B121" s="70" t="s">
        <v>694</v>
      </c>
      <c r="C121" s="73" t="s">
        <v>659</v>
      </c>
      <c r="D121" s="69" t="str">
        <f>IFERROR(IF(VLOOKUP(A121,Questionário!A:A,1,FALSE)=A121, "Ok","Ausente"), "Ausente")</f>
        <v>Ok</v>
      </c>
    </row>
    <row r="122" spans="1:5" ht="28.5">
      <c r="A122" s="69" t="s">
        <v>711</v>
      </c>
      <c r="B122" s="70" t="s">
        <v>706</v>
      </c>
      <c r="C122" s="73" t="s">
        <v>659</v>
      </c>
      <c r="D122" s="69" t="str">
        <f>IFERROR(IF(VLOOKUP(A122,Questionário!A:A,1,FALSE)=A122, "Ok","Ausente"), "Ausente")</f>
        <v>Ok</v>
      </c>
    </row>
    <row r="123" spans="1:5" ht="28.5">
      <c r="A123" s="69" t="s">
        <v>253</v>
      </c>
      <c r="B123" s="70" t="s">
        <v>247</v>
      </c>
      <c r="C123" s="73" t="s">
        <v>146</v>
      </c>
      <c r="D123" s="69" t="str">
        <f>IFERROR(IF(VLOOKUP(A123,Questionário!A:A,1,FALSE)=A123, "Ok","Ausente"), "Ausente")</f>
        <v>Ok</v>
      </c>
    </row>
    <row r="124" spans="1:5" ht="28.5">
      <c r="A124" s="69" t="s">
        <v>716</v>
      </c>
      <c r="B124" s="70" t="s">
        <v>714</v>
      </c>
      <c r="C124" s="73" t="s">
        <v>129</v>
      </c>
      <c r="D124" s="69" t="str">
        <f>IFERROR(IF(VLOOKUP(A124,Questionário!A:A,1,FALSE)=A124, "Ok","Ausente"), "Ausente")</f>
        <v>Ok</v>
      </c>
    </row>
    <row r="125" spans="1:5" ht="28.5">
      <c r="A125" s="69" t="s">
        <v>1014</v>
      </c>
      <c r="B125" s="70" t="s">
        <v>985</v>
      </c>
      <c r="C125" s="73" t="s">
        <v>225</v>
      </c>
      <c r="D125" s="69" t="str">
        <f>IFERROR(IF(VLOOKUP(A125,Questionário!A:A,1,FALSE)=A125, "Ok","Ausente"), "Ausente")</f>
        <v>Ausente</v>
      </c>
      <c r="E125" t="s">
        <v>967</v>
      </c>
    </row>
    <row r="126" spans="1:5" ht="28.5">
      <c r="A126" s="69" t="s">
        <v>752</v>
      </c>
      <c r="B126" s="70" t="s">
        <v>753</v>
      </c>
      <c r="C126" s="73" t="s">
        <v>129</v>
      </c>
      <c r="D126" s="69" t="str">
        <f>IFERROR(IF(VLOOKUP(A126,Questionário!A:A,1,FALSE)=A126, "Ok","Ausente"), "Ausente")</f>
        <v>Ok</v>
      </c>
    </row>
    <row r="127" spans="1:5" ht="15.5">
      <c r="A127" s="69" t="s">
        <v>350</v>
      </c>
      <c r="B127" s="70" t="s">
        <v>347</v>
      </c>
      <c r="C127" s="73" t="s">
        <v>158</v>
      </c>
      <c r="D127" s="69" t="str">
        <f>IFERROR(IF(VLOOKUP(A127,Questionário!A:A,1,FALSE)=A127, "Ok","Ausente"), "Ausente")</f>
        <v>Ok</v>
      </c>
    </row>
    <row r="128" spans="1:5" ht="28.5">
      <c r="A128" s="69" t="s">
        <v>1015</v>
      </c>
      <c r="B128" s="70" t="s">
        <v>1016</v>
      </c>
      <c r="C128" s="73" t="s">
        <v>225</v>
      </c>
      <c r="D128" s="69" t="str">
        <f>IFERROR(IF(VLOOKUP(A128,Questionário!A:A,1,FALSE)=A128, "Ok","Ausente"), "Ausente")</f>
        <v>Ausente</v>
      </c>
      <c r="E128" t="s">
        <v>967</v>
      </c>
    </row>
    <row r="129" spans="1:5" ht="28.5">
      <c r="A129" s="69" t="s">
        <v>326</v>
      </c>
      <c r="B129" s="70" t="s">
        <v>1017</v>
      </c>
      <c r="C129" s="73" t="s">
        <v>158</v>
      </c>
      <c r="D129" s="69" t="str">
        <f>IFERROR(IF(VLOOKUP(A129,Questionário!A:A,1,FALSE)=A129, "Ok","Ausente"), "Ausente")</f>
        <v>Ok</v>
      </c>
    </row>
    <row r="130" spans="1:5" ht="15.5">
      <c r="A130" s="69" t="s">
        <v>1018</v>
      </c>
      <c r="B130" s="70" t="s">
        <v>1019</v>
      </c>
      <c r="C130" s="73" t="s">
        <v>225</v>
      </c>
      <c r="D130" s="69" t="str">
        <f>IFERROR(IF(VLOOKUP(A130,Questionário!A:A,1,FALSE)=A130, "Ok","Ausente"), "Ausente")</f>
        <v>Ausente</v>
      </c>
      <c r="E130" t="s">
        <v>967</v>
      </c>
    </row>
    <row r="131" spans="1:5" ht="15.5">
      <c r="A131" s="69" t="s">
        <v>501</v>
      </c>
      <c r="B131" s="70" t="s">
        <v>980</v>
      </c>
      <c r="C131" s="73" t="s">
        <v>184</v>
      </c>
      <c r="D131" s="69" t="str">
        <f>IFERROR(IF(VLOOKUP(A131,Questionário!A:A,1,FALSE)=A131, "Ok","Ausente"), "Ausente")</f>
        <v>Ok</v>
      </c>
    </row>
    <row r="132" spans="1:5" ht="15.5">
      <c r="A132" s="69" t="s">
        <v>598</v>
      </c>
      <c r="B132" s="70" t="s">
        <v>599</v>
      </c>
      <c r="C132" s="73" t="s">
        <v>184</v>
      </c>
      <c r="D132" s="69" t="str">
        <f>IFERROR(IF(VLOOKUP(A132,Questionário!A:A,1,FALSE)=A132, "Ok","Ausente"), "Ausente")</f>
        <v>Ok</v>
      </c>
    </row>
    <row r="133" spans="1:5" ht="15.5">
      <c r="A133" s="69" t="s">
        <v>601</v>
      </c>
      <c r="B133" s="70" t="s">
        <v>602</v>
      </c>
      <c r="C133" s="73" t="s">
        <v>184</v>
      </c>
      <c r="D133" s="69" t="str">
        <f>IFERROR(IF(VLOOKUP(A133,Questionário!A:A,1,FALSE)=A133, "Ok","Ausente"), "Ausente")</f>
        <v>Ok</v>
      </c>
    </row>
    <row r="134" spans="1:5" ht="15.5">
      <c r="A134" s="69" t="s">
        <v>604</v>
      </c>
      <c r="B134" s="70" t="s">
        <v>605</v>
      </c>
      <c r="C134" s="73" t="s">
        <v>184</v>
      </c>
      <c r="D134" s="69" t="str">
        <f>IFERROR(IF(VLOOKUP(A134,Questionário!A:A,1,FALSE)=A134, "Ok","Ausente"), "Ausente")</f>
        <v>Ok</v>
      </c>
    </row>
    <row r="135" spans="1:5" ht="15.5">
      <c r="A135" s="69" t="s">
        <v>507</v>
      </c>
      <c r="B135" s="70" t="s">
        <v>505</v>
      </c>
      <c r="C135" s="73" t="s">
        <v>225</v>
      </c>
      <c r="D135" s="69" t="str">
        <f>IFERROR(IF(VLOOKUP(A135,Questionário!A:A,1,FALSE)=A135, "Ok","Ausente"), "Ausente")</f>
        <v>Ok</v>
      </c>
    </row>
    <row r="136" spans="1:5" ht="15.5">
      <c r="A136" s="69" t="s">
        <v>312</v>
      </c>
      <c r="B136" s="70" t="s">
        <v>313</v>
      </c>
      <c r="C136" s="73">
        <v>2</v>
      </c>
      <c r="D136" s="69" t="str">
        <f>IFERROR(IF(VLOOKUP(A136,Questionário!A:A,1,FALSE)=A136, "Ok","Ausente"), "Ausente")</f>
        <v>Ok</v>
      </c>
    </row>
    <row r="139" spans="1:5">
      <c r="C139" s="74" t="s">
        <v>1020</v>
      </c>
      <c r="D139" s="69">
        <f>COUNTIF($D$2:$D$136,C139)</f>
        <v>23</v>
      </c>
    </row>
    <row r="140" spans="1:5">
      <c r="C140" s="74" t="s">
        <v>1021</v>
      </c>
      <c r="D140" s="69">
        <f>COUNTIF($D$2:$D$136,C140)</f>
        <v>112</v>
      </c>
    </row>
  </sheetData>
  <autoFilter ref="A1:D136" xr:uid="{73C0B6FE-4209-4600-84CC-B1610AFF1522}"/>
  <conditionalFormatting sqref="D1">
    <cfRule type="cellIs" dxfId="3" priority="3" operator="equal">
      <formula>"Ausente"</formula>
    </cfRule>
    <cfRule type="cellIs" dxfId="2" priority="4" operator="equal">
      <formula>"Ok"</formula>
    </cfRule>
  </conditionalFormatting>
  <conditionalFormatting sqref="D2:D136">
    <cfRule type="containsText" dxfId="1" priority="1" operator="containsText" text="ok">
      <formula>NOT(ISERROR(SEARCH("ok",D2)))</formula>
    </cfRule>
    <cfRule type="containsText" dxfId="0" priority="2" operator="containsText" text="Ausente">
      <formula>NOT(ISERROR(SEARCH("Ausente",D2)))</formula>
    </cfRule>
  </conditionalFormatting>
  <pageMargins left="0.7" right="0.7" top="0.75" bottom="0.75" header="0.3" footer="0.3"/>
  <headerFooter>
    <oddFooter>&amp;L_x000D_&amp;1#&amp;"Calibri"&amp;10&amp;K000000 Informação Pública - Instituto Unibanco</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5D0FADA1BC81144BE93D35AD79AB577" ma:contentTypeVersion="10" ma:contentTypeDescription="Crie um novo documento." ma:contentTypeScope="" ma:versionID="418d39ad3f4f5349f0b2a2ac34b9aba6">
  <xsd:schema xmlns:xsd="http://www.w3.org/2001/XMLSchema" xmlns:xs="http://www.w3.org/2001/XMLSchema" xmlns:p="http://schemas.microsoft.com/office/2006/metadata/properties" xmlns:ns2="ec4d1fa7-4d8b-416c-9237-1866ea63f413" xmlns:ns3="3d9567e6-1e6c-435d-9c9e-dc6f71027504" targetNamespace="http://schemas.microsoft.com/office/2006/metadata/properties" ma:root="true" ma:fieldsID="d950a167b41561f26f1ba5ba36ddb223" ns2:_="" ns3:_="">
    <xsd:import namespace="ec4d1fa7-4d8b-416c-9237-1866ea63f413"/>
    <xsd:import namespace="3d9567e6-1e6c-435d-9c9e-dc6f7102750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4d1fa7-4d8b-416c-9237-1866ea63f4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9567e6-1e6c-435d-9c9e-dc6f71027504"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8E4D04-80C2-4962-B649-23A4D4CAA89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C248610-3F40-410E-B2B9-0C91B921791F}">
  <ds:schemaRefs>
    <ds:schemaRef ds:uri="http://schemas.microsoft.com/sharepoint/v3/contenttype/forms"/>
  </ds:schemaRefs>
</ds:datastoreItem>
</file>

<file path=customXml/itemProps3.xml><?xml version="1.0" encoding="utf-8"?>
<ds:datastoreItem xmlns:ds="http://schemas.openxmlformats.org/officeDocument/2006/customXml" ds:itemID="{21ABD4F7-90F4-4614-B5A9-4C74ED54D7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4d1fa7-4d8b-416c-9237-1866ea63f413"/>
    <ds:schemaRef ds:uri="3d9567e6-1e6c-435d-9c9e-dc6f710275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b5c1142-8219-4ac2-80c2-bd101ab600dd}" enabled="1" method="Privileged" siteId="{8623c761-6723-4a31-9aa3-05b3c8410f5a}"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6</vt:i4>
      </vt:variant>
      <vt:variant>
        <vt:lpstr>Intervalos Nomeados</vt:lpstr>
      </vt:variant>
      <vt:variant>
        <vt:i4>1</vt:i4>
      </vt:variant>
    </vt:vector>
  </HeadingPairs>
  <TitlesOfParts>
    <vt:vector size="7" baseType="lpstr">
      <vt:lpstr>Status_Legenda</vt:lpstr>
      <vt:lpstr>Questionário</vt:lpstr>
      <vt:lpstr>Opções - Tipo de Resposta</vt:lpstr>
      <vt:lpstr>Opções - Restrições</vt:lpstr>
      <vt:lpstr>Instruções</vt:lpstr>
      <vt:lpstr>Checagem_Referencial</vt:lpstr>
      <vt:lpstr>Escolha_Única__Vertical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Giovana Gonçalves Pereira</dc:creator>
  <cp:keywords/>
  <dc:description/>
  <cp:lastModifiedBy>Fabio Junior Rocha Vianna</cp:lastModifiedBy>
  <cp:revision/>
  <dcterms:created xsi:type="dcterms:W3CDTF">2023-05-01T16:06:02Z</dcterms:created>
  <dcterms:modified xsi:type="dcterms:W3CDTF">2025-10-06T19:16:29Z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0x01010015D0FADA1BC81144BE93D35AD79AB577</vt:lpwstr>
  </property>
  <property fmtid="{D5CDD505-2E9C-101B-9397-08002B2CF9AE}" pid="3" name="MSIP_Label_9fd812d8-6883-40e8-be1a-8cf7c786697b_Enabled">
    <vt:lpwstr>true</vt:lpwstr>
  </property>
  <property fmtid="{D5CDD505-2E9C-101B-9397-08002B2CF9AE}" pid="4" name="MSIP_Label_9fd812d8-6883-40e8-be1a-8cf7c786697b_SetDate">
    <vt:lpwstr>2023-05-01T16:06:07Z</vt:lpwstr>
  </property>
  <property fmtid="{D5CDD505-2E9C-101B-9397-08002B2CF9AE}" pid="5" name="MSIP_Label_9fd812d8-6883-40e8-be1a-8cf7c786697b_Method">
    <vt:lpwstr>Standard</vt:lpwstr>
  </property>
  <property fmtid="{D5CDD505-2E9C-101B-9397-08002B2CF9AE}" pid="6" name="MSIP_Label_9fd812d8-6883-40e8-be1a-8cf7c786697b_Name">
    <vt:lpwstr>Interno</vt:lpwstr>
  </property>
  <property fmtid="{D5CDD505-2E9C-101B-9397-08002B2CF9AE}" pid="7" name="MSIP_Label_9fd812d8-6883-40e8-be1a-8cf7c786697b_SiteId">
    <vt:lpwstr>cd5ead29-f0c9-477f-ab9e-23b178956bfa</vt:lpwstr>
  </property>
  <property fmtid="{D5CDD505-2E9C-101B-9397-08002B2CF9AE}" pid="8" name="MSIP_Label_9fd812d8-6883-40e8-be1a-8cf7c786697b_ActionId">
    <vt:lpwstr>8b2b4bae-9e66-4f5d-aa46-cc3cf9ebbb5a</vt:lpwstr>
  </property>
  <property fmtid="{D5CDD505-2E9C-101B-9397-08002B2CF9AE}" pid="9" name="MSIP_Label_9fd812d8-6883-40e8-be1a-8cf7c786697b_ContentBits">
    <vt:lpwstr>1</vt:lpwstr>
  </property>
  <property fmtid="{D5CDD505-2E9C-101B-9397-08002B2CF9AE}" pid="10" name="MSIP_Label_b7ca6d72-a4ea-4afd-a423-aede33f4a870_Enabled">
    <vt:lpwstr>true</vt:lpwstr>
  </property>
  <property fmtid="{D5CDD505-2E9C-101B-9397-08002B2CF9AE}" pid="11" name="MSIP_Label_b7ca6d72-a4ea-4afd-a423-aede33f4a870_SetDate">
    <vt:lpwstr>2023-10-10T14:32:42Z</vt:lpwstr>
  </property>
  <property fmtid="{D5CDD505-2E9C-101B-9397-08002B2CF9AE}" pid="12" name="MSIP_Label_b7ca6d72-a4ea-4afd-a423-aede33f4a870_Method">
    <vt:lpwstr>Privileged</vt:lpwstr>
  </property>
  <property fmtid="{D5CDD505-2E9C-101B-9397-08002B2CF9AE}" pid="13" name="MSIP_Label_b7ca6d72-a4ea-4afd-a423-aede33f4a870_Name">
    <vt:lpwstr>Público</vt:lpwstr>
  </property>
  <property fmtid="{D5CDD505-2E9C-101B-9397-08002B2CF9AE}" pid="14" name="MSIP_Label_b7ca6d72-a4ea-4afd-a423-aede33f4a870_SiteId">
    <vt:lpwstr>8623c761-6723-4a31-9aa3-05b3c8410f5a</vt:lpwstr>
  </property>
  <property fmtid="{D5CDD505-2E9C-101B-9397-08002B2CF9AE}" pid="15" name="MSIP_Label_b7ca6d72-a4ea-4afd-a423-aede33f4a870_ActionId">
    <vt:lpwstr>4b1dda25-8c05-45ea-8eb5-5124dc4af7d9</vt:lpwstr>
  </property>
  <property fmtid="{D5CDD505-2E9C-101B-9397-08002B2CF9AE}" pid="16" name="MSIP_Label_b7ca6d72-a4ea-4afd-a423-aede33f4a870_ContentBits">
    <vt:lpwstr>2</vt:lpwstr>
  </property>
</Properties>
</file>